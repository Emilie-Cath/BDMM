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udiant\Documents\thèse\3eme année\2eme papier\data\"/>
    </mc:Choice>
  </mc:AlternateContent>
  <xr:revisionPtr revIDLastSave="0" documentId="13_ncr:1_{D5C5E4DA-A9D0-4899-BA06-8A13503EE336}" xr6:coauthVersionLast="36" xr6:coauthVersionMax="47" xr10:uidLastSave="{00000000-0000-0000-0000-000000000000}"/>
  <bookViews>
    <workbookView xWindow="0" yWindow="0" windowWidth="23040" windowHeight="8940" xr2:uid="{15CBBD41-CC80-43CC-9876-A2CE9E7BF055}"/>
  </bookViews>
  <sheets>
    <sheet name="Sources" sheetId="5" r:id="rId1"/>
    <sheet name="Targets" sheetId="4" r:id="rId2"/>
    <sheet name="Sources_MeanC" sheetId="7" r:id="rId3"/>
    <sheet name="Sources_SdC" sheetId="9" r:id="rId4"/>
    <sheet name="Sources_MeanN" sheetId="8" r:id="rId5"/>
    <sheet name="Sources_SdN" sheetId="10" r:id="rId6"/>
    <sheet name="TEFs" sheetId="6" r:id="rId7"/>
    <sheet name="TEFs_MeanC" sheetId="11" r:id="rId8"/>
    <sheet name="TEFs_MeanN" sheetId="12" r:id="rId9"/>
    <sheet name="TEFs_SdC" sheetId="13" r:id="rId10"/>
    <sheet name="TEFs_SdN" sheetId="14" r:id="rId1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4" l="1"/>
  <c r="F22" i="4"/>
  <c r="G22" i="4"/>
  <c r="F21" i="4"/>
  <c r="G21" i="4"/>
  <c r="F20" i="4"/>
  <c r="G20" i="4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" i="4"/>
  <c r="G2" i="4"/>
  <c r="B22" i="10"/>
  <c r="B21" i="10"/>
  <c r="B19" i="10"/>
  <c r="B18" i="10"/>
  <c r="B16" i="10"/>
  <c r="B15" i="10"/>
  <c r="B13" i="10"/>
  <c r="B12" i="10"/>
  <c r="B10" i="10"/>
  <c r="B9" i="10"/>
  <c r="B7" i="10"/>
  <c r="B6" i="10"/>
  <c r="B4" i="10"/>
  <c r="B3" i="10"/>
  <c r="B22" i="8"/>
  <c r="B21" i="8"/>
  <c r="B19" i="8"/>
  <c r="B18" i="8"/>
  <c r="B16" i="8"/>
  <c r="B15" i="8"/>
  <c r="B13" i="8"/>
  <c r="B12" i="8"/>
  <c r="B10" i="8"/>
  <c r="B9" i="8"/>
  <c r="B7" i="8"/>
  <c r="B6" i="8"/>
  <c r="B4" i="8"/>
  <c r="B3" i="8"/>
  <c r="B22" i="9"/>
  <c r="B21" i="9"/>
  <c r="B19" i="9"/>
  <c r="B18" i="9"/>
  <c r="B16" i="9"/>
  <c r="B15" i="9"/>
  <c r="B13" i="9"/>
  <c r="B12" i="9"/>
  <c r="B10" i="9"/>
  <c r="B9" i="9"/>
  <c r="B7" i="9"/>
  <c r="B6" i="9"/>
  <c r="B4" i="9"/>
  <c r="B3" i="9"/>
  <c r="B22" i="7"/>
  <c r="B21" i="7"/>
  <c r="B19" i="7"/>
  <c r="B18" i="7"/>
</calcChain>
</file>

<file path=xl/sharedStrings.xml><?xml version="1.0" encoding="utf-8"?>
<sst xmlns="http://schemas.openxmlformats.org/spreadsheetml/2006/main" count="137" uniqueCount="17">
  <si>
    <t>TOM BDV N</t>
  </si>
  <si>
    <t>POM BDV N</t>
  </si>
  <si>
    <t>Ulva BDV N</t>
  </si>
  <si>
    <t>d13C_Pl</t>
  </si>
  <si>
    <t>d15N_Pl</t>
  </si>
  <si>
    <t>Time</t>
  </si>
  <si>
    <t>lambda</t>
  </si>
  <si>
    <t>Source</t>
  </si>
  <si>
    <t xml:space="preserve">MPB BDV N			</t>
  </si>
  <si>
    <t>SDC</t>
  </si>
  <si>
    <t>SDN</t>
  </si>
  <si>
    <t>MeanC</t>
  </si>
  <si>
    <t>MeanN</t>
  </si>
  <si>
    <t xml:space="preserve">MPBxU BDV N			</t>
  </si>
  <si>
    <t>sd</t>
  </si>
  <si>
    <t>beta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</si>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</sst>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0000D4"/>
      <name val="Arial"/>
      <family val="2"/>
    </font>
    <font>
      <sz val="10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CCBBC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2" fontId="3" fillId="0" borderId="0" xfId="0" applyNumberFormat="1" applyFont="1"/>
    <xf numFmtId="0" fontId="3" fillId="0" borderId="0" xfId="0" applyFont="1"/>
    <xf numFmtId="2" fontId="4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2" fontId="0" fillId="2" borderId="0" xfId="0" applyNumberFormat="1" applyFill="1" applyAlignment="1">
      <alignment horizontal="right"/>
    </xf>
    <xf numFmtId="2" fontId="0" fillId="3" borderId="0" xfId="0" applyNumberFormat="1" applyFill="1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164" fontId="0" fillId="3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CB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5F680-2694-1447-A21E-95A0733E3BFF}">
  <dimension ref="A1:F85"/>
  <sheetViews>
    <sheetView tabSelected="1" topLeftCell="A28" workbookViewId="0">
      <selection activeCell="F38" sqref="F38"/>
    </sheetView>
  </sheetViews>
  <sheetFormatPr baseColWidth="10" defaultRowHeight="15" x14ac:dyDescent="0.25"/>
  <sheetData>
    <row r="1" spans="1:6" x14ac:dyDescent="0.25">
      <c r="A1" t="s">
        <v>5</v>
      </c>
      <c r="B1" t="s">
        <v>7</v>
      </c>
      <c r="C1" t="s">
        <v>11</v>
      </c>
      <c r="D1" t="s">
        <v>9</v>
      </c>
      <c r="E1" t="s">
        <v>12</v>
      </c>
      <c r="F1" t="s">
        <v>10</v>
      </c>
    </row>
    <row r="2" spans="1:6" x14ac:dyDescent="0.25">
      <c r="A2">
        <v>0</v>
      </c>
      <c r="B2" t="s">
        <v>8</v>
      </c>
      <c r="C2" s="5">
        <v>-15.105736334711331</v>
      </c>
      <c r="D2" s="5">
        <v>0.37267084321571253</v>
      </c>
      <c r="E2" s="5">
        <v>5.6684348166927974</v>
      </c>
      <c r="F2" s="5">
        <v>0.49411896521937548</v>
      </c>
    </row>
    <row r="3" spans="1:6" x14ac:dyDescent="0.25">
      <c r="A3">
        <v>0</v>
      </c>
      <c r="B3" t="s">
        <v>8</v>
      </c>
      <c r="C3" s="5">
        <v>-15.105736334711331</v>
      </c>
      <c r="D3" s="5">
        <v>0.37267084321571253</v>
      </c>
      <c r="E3" s="5">
        <v>5.6684348166927974</v>
      </c>
      <c r="F3" s="5">
        <v>0.49411896521937548</v>
      </c>
    </row>
    <row r="4" spans="1:6" x14ac:dyDescent="0.25">
      <c r="A4">
        <v>0</v>
      </c>
      <c r="B4" t="s">
        <v>8</v>
      </c>
      <c r="C4" s="5">
        <v>-15.105736334711331</v>
      </c>
      <c r="D4" s="5">
        <v>0.37267084321571253</v>
      </c>
      <c r="E4" s="5">
        <v>5.6684348166927974</v>
      </c>
      <c r="F4" s="5">
        <v>0.49411896521937548</v>
      </c>
    </row>
    <row r="5" spans="1:6" x14ac:dyDescent="0.25">
      <c r="A5">
        <v>60</v>
      </c>
      <c r="B5" t="s">
        <v>8</v>
      </c>
      <c r="C5" s="6">
        <v>-17.826754947823318</v>
      </c>
      <c r="D5" s="6">
        <v>0.51976991088043778</v>
      </c>
      <c r="E5" s="6">
        <v>10.446762541199099</v>
      </c>
      <c r="F5" s="6">
        <v>0.33139126566837146</v>
      </c>
    </row>
    <row r="6" spans="1:6" x14ac:dyDescent="0.25">
      <c r="A6">
        <v>60</v>
      </c>
      <c r="B6" t="s">
        <v>8</v>
      </c>
      <c r="C6" s="6">
        <v>-17.826754947823318</v>
      </c>
      <c r="D6" s="6">
        <v>0.51976991088043778</v>
      </c>
      <c r="E6" s="6">
        <v>10.446762541199099</v>
      </c>
      <c r="F6" s="6">
        <v>0.33139126566837146</v>
      </c>
    </row>
    <row r="7" spans="1:6" x14ac:dyDescent="0.25">
      <c r="A7">
        <v>60</v>
      </c>
      <c r="B7" t="s">
        <v>8</v>
      </c>
      <c r="C7" s="6">
        <v>-17.826754947823318</v>
      </c>
      <c r="D7" s="6">
        <v>0.51976991088043778</v>
      </c>
      <c r="E7" s="6">
        <v>10.446762541199099</v>
      </c>
      <c r="F7" s="6">
        <v>0.33139126566837146</v>
      </c>
    </row>
    <row r="8" spans="1:6" x14ac:dyDescent="0.25">
      <c r="A8">
        <v>120</v>
      </c>
      <c r="B8" t="s">
        <v>8</v>
      </c>
      <c r="C8" s="5">
        <v>-15.655155792205138</v>
      </c>
      <c r="D8" s="5">
        <v>8.4229701054793132E-2</v>
      </c>
      <c r="E8" s="5">
        <v>5.1725236995137003</v>
      </c>
      <c r="F8" s="5">
        <v>5.2681707876590357E-2</v>
      </c>
    </row>
    <row r="9" spans="1:6" x14ac:dyDescent="0.25">
      <c r="A9">
        <v>120</v>
      </c>
      <c r="B9" t="s">
        <v>8</v>
      </c>
      <c r="C9" s="5">
        <v>-15.655155792205138</v>
      </c>
      <c r="D9" s="5">
        <v>8.4229701054793132E-2</v>
      </c>
      <c r="E9" s="5">
        <v>5.1725236995137003</v>
      </c>
      <c r="F9" s="5">
        <v>5.2681707876590357E-2</v>
      </c>
    </row>
    <row r="10" spans="1:6" x14ac:dyDescent="0.25">
      <c r="A10">
        <v>120</v>
      </c>
      <c r="B10" t="s">
        <v>8</v>
      </c>
      <c r="C10" s="5">
        <v>-15.655155792205138</v>
      </c>
      <c r="D10" s="5">
        <v>8.4229701054793132E-2</v>
      </c>
      <c r="E10" s="5">
        <v>5.1725236995137003</v>
      </c>
      <c r="F10" s="5">
        <v>5.2681707876590357E-2</v>
      </c>
    </row>
    <row r="11" spans="1:6" x14ac:dyDescent="0.25">
      <c r="A11">
        <v>180</v>
      </c>
      <c r="B11" t="s">
        <v>8</v>
      </c>
      <c r="C11" s="5">
        <v>-18.790241002440816</v>
      </c>
      <c r="D11" s="5">
        <v>0.2541113671603879</v>
      </c>
      <c r="E11" s="5">
        <v>6.4574337784460205</v>
      </c>
      <c r="F11" s="5">
        <v>2.4026234721686156E-2</v>
      </c>
    </row>
    <row r="12" spans="1:6" x14ac:dyDescent="0.25">
      <c r="A12">
        <v>180</v>
      </c>
      <c r="B12" t="s">
        <v>8</v>
      </c>
      <c r="C12" s="5">
        <v>-18.790241002440816</v>
      </c>
      <c r="D12" s="5">
        <v>0.2541113671603879</v>
      </c>
      <c r="E12" s="5">
        <v>6.4574337784460205</v>
      </c>
      <c r="F12" s="5">
        <v>2.4026234721686156E-2</v>
      </c>
    </row>
    <row r="13" spans="1:6" x14ac:dyDescent="0.25">
      <c r="A13">
        <v>180</v>
      </c>
      <c r="B13" t="s">
        <v>8</v>
      </c>
      <c r="C13" s="5">
        <v>-18.790241002440816</v>
      </c>
      <c r="D13" s="5">
        <v>0.2541113671603879</v>
      </c>
      <c r="E13" s="5">
        <v>6.4574337784460205</v>
      </c>
      <c r="F13" s="5">
        <v>2.4026234721686156E-2</v>
      </c>
    </row>
    <row r="14" spans="1:6" x14ac:dyDescent="0.25">
      <c r="A14">
        <v>240</v>
      </c>
      <c r="B14" t="s">
        <v>8</v>
      </c>
      <c r="C14" s="5">
        <v>-20.824572665019499</v>
      </c>
      <c r="D14" s="5">
        <v>0.45084378718883439</v>
      </c>
      <c r="E14" s="5">
        <v>8.5632151555999805</v>
      </c>
      <c r="F14" s="5">
        <v>1.8540280075506355E-5</v>
      </c>
    </row>
    <row r="15" spans="1:6" x14ac:dyDescent="0.25">
      <c r="A15">
        <v>240</v>
      </c>
      <c r="B15" t="s">
        <v>8</v>
      </c>
      <c r="C15" s="5">
        <v>-20.824572665019499</v>
      </c>
      <c r="D15" s="5">
        <v>0.45084378718883439</v>
      </c>
      <c r="E15" s="5">
        <v>8.5632151555999805</v>
      </c>
      <c r="F15" s="5">
        <v>1.8540280075506355E-5</v>
      </c>
    </row>
    <row r="16" spans="1:6" x14ac:dyDescent="0.25">
      <c r="A16">
        <v>240</v>
      </c>
      <c r="B16" t="s">
        <v>8</v>
      </c>
      <c r="C16" s="5">
        <v>-20.824572665019499</v>
      </c>
      <c r="D16" s="5">
        <v>0.45084378718883439</v>
      </c>
      <c r="E16" s="5">
        <v>8.5632151555999805</v>
      </c>
      <c r="F16" s="5">
        <v>1.8540280075506355E-5</v>
      </c>
    </row>
    <row r="17" spans="1:6" x14ac:dyDescent="0.25">
      <c r="A17">
        <v>300</v>
      </c>
      <c r="B17" t="s">
        <v>8</v>
      </c>
      <c r="C17" s="5">
        <v>-21.296827985285418</v>
      </c>
      <c r="D17" s="5">
        <v>1.1716435808732408E-2</v>
      </c>
      <c r="E17" s="5">
        <v>8.4755065913698395</v>
      </c>
      <c r="F17" s="5">
        <v>7.1642838580746905E-4</v>
      </c>
    </row>
    <row r="18" spans="1:6" x14ac:dyDescent="0.25">
      <c r="A18">
        <v>300</v>
      </c>
      <c r="B18" t="s">
        <v>8</v>
      </c>
      <c r="C18" s="5">
        <v>-21.296827985285418</v>
      </c>
      <c r="D18" s="5">
        <v>1.1716435808732408E-2</v>
      </c>
      <c r="E18" s="5">
        <v>8.4755065913698395</v>
      </c>
      <c r="F18" s="5">
        <v>7.1642838580746905E-4</v>
      </c>
    </row>
    <row r="19" spans="1:6" x14ac:dyDescent="0.25">
      <c r="A19">
        <v>300</v>
      </c>
      <c r="B19" t="s">
        <v>8</v>
      </c>
      <c r="C19" s="5">
        <v>-21.296827985285418</v>
      </c>
      <c r="D19" s="5">
        <v>1.1716435808732408E-2</v>
      </c>
      <c r="E19" s="5">
        <v>8.4755065913698395</v>
      </c>
      <c r="F19" s="5">
        <v>7.1642838580746905E-4</v>
      </c>
    </row>
    <row r="20" spans="1:6" x14ac:dyDescent="0.25">
      <c r="A20">
        <v>360</v>
      </c>
      <c r="B20" t="s">
        <v>8</v>
      </c>
      <c r="C20" s="5">
        <v>-18.161519881747459</v>
      </c>
      <c r="D20" s="5">
        <v>8.8312338485697209E-2</v>
      </c>
      <c r="E20" s="5">
        <v>6.902211721400171</v>
      </c>
      <c r="F20" s="5">
        <v>2.2517937083862412E-2</v>
      </c>
    </row>
    <row r="21" spans="1:6" x14ac:dyDescent="0.25">
      <c r="A21">
        <v>360</v>
      </c>
      <c r="B21" t="s">
        <v>8</v>
      </c>
      <c r="C21" s="5">
        <v>-18.161519881747459</v>
      </c>
      <c r="D21" s="5">
        <v>8.8312338485697209E-2</v>
      </c>
      <c r="E21" s="5">
        <v>6.902211721400171</v>
      </c>
      <c r="F21" s="5">
        <v>2.2517937083862412E-2</v>
      </c>
    </row>
    <row r="22" spans="1:6" x14ac:dyDescent="0.25">
      <c r="A22">
        <v>360</v>
      </c>
      <c r="B22" t="s">
        <v>8</v>
      </c>
      <c r="C22" s="5">
        <v>-18.161519881747459</v>
      </c>
      <c r="D22" s="5">
        <v>8.8312338485697209E-2</v>
      </c>
      <c r="E22" s="5">
        <v>6.902211721400171</v>
      </c>
      <c r="F22" s="5">
        <v>2.2517937083862412E-2</v>
      </c>
    </row>
    <row r="23" spans="1:6" x14ac:dyDescent="0.25">
      <c r="A23">
        <v>0</v>
      </c>
      <c r="B23" t="s">
        <v>1</v>
      </c>
      <c r="C23" s="6">
        <v>-21.91</v>
      </c>
      <c r="D23" s="6">
        <v>0.16</v>
      </c>
      <c r="E23" s="6">
        <v>5.46</v>
      </c>
      <c r="F23" s="6">
        <v>0.09</v>
      </c>
    </row>
    <row r="24" spans="1:6" x14ac:dyDescent="0.25">
      <c r="A24">
        <v>0</v>
      </c>
      <c r="B24" t="s">
        <v>1</v>
      </c>
      <c r="C24" s="6">
        <v>-21.91</v>
      </c>
      <c r="D24" s="6">
        <v>0.16</v>
      </c>
      <c r="E24" s="6">
        <v>5.46</v>
      </c>
      <c r="F24" s="6">
        <v>0.09</v>
      </c>
    </row>
    <row r="25" spans="1:6" x14ac:dyDescent="0.25">
      <c r="A25">
        <v>0</v>
      </c>
      <c r="B25" t="s">
        <v>1</v>
      </c>
      <c r="C25" s="6">
        <v>-21.91</v>
      </c>
      <c r="D25" s="6">
        <v>0.16</v>
      </c>
      <c r="E25" s="6">
        <v>5.46</v>
      </c>
      <c r="F25" s="6">
        <v>0.09</v>
      </c>
    </row>
    <row r="26" spans="1:6" x14ac:dyDescent="0.25">
      <c r="A26">
        <v>60</v>
      </c>
      <c r="B26" t="s">
        <v>1</v>
      </c>
      <c r="C26" s="6">
        <v>-20.47</v>
      </c>
      <c r="D26" s="6">
        <v>0.16</v>
      </c>
      <c r="E26" s="6">
        <v>4.3499999999999996</v>
      </c>
      <c r="F26" s="6">
        <v>0.23</v>
      </c>
    </row>
    <row r="27" spans="1:6" x14ac:dyDescent="0.25">
      <c r="A27">
        <v>60</v>
      </c>
      <c r="B27" t="s">
        <v>1</v>
      </c>
      <c r="C27" s="6">
        <v>-20.47</v>
      </c>
      <c r="D27" s="6">
        <v>0.16</v>
      </c>
      <c r="E27" s="6">
        <v>4.3499999999999996</v>
      </c>
      <c r="F27" s="6">
        <v>0.23</v>
      </c>
    </row>
    <row r="28" spans="1:6" x14ac:dyDescent="0.25">
      <c r="A28">
        <v>60</v>
      </c>
      <c r="B28" t="s">
        <v>1</v>
      </c>
      <c r="C28" s="6">
        <v>-20.47</v>
      </c>
      <c r="D28" s="6">
        <v>0.16</v>
      </c>
      <c r="E28" s="6">
        <v>4.3499999999999996</v>
      </c>
      <c r="F28" s="6">
        <v>0.23</v>
      </c>
    </row>
    <row r="29" spans="1:6" x14ac:dyDescent="0.25">
      <c r="A29">
        <v>120</v>
      </c>
      <c r="B29" t="s">
        <v>1</v>
      </c>
      <c r="C29" s="6">
        <v>-22.65</v>
      </c>
      <c r="D29" s="6">
        <v>0.65</v>
      </c>
      <c r="E29" s="6">
        <v>6</v>
      </c>
      <c r="F29" s="6">
        <v>0.42</v>
      </c>
    </row>
    <row r="30" spans="1:6" x14ac:dyDescent="0.25">
      <c r="A30">
        <v>120</v>
      </c>
      <c r="B30" t="s">
        <v>1</v>
      </c>
      <c r="C30" s="6">
        <v>-22.65</v>
      </c>
      <c r="D30" s="6">
        <v>0.65</v>
      </c>
      <c r="E30" s="6">
        <v>6</v>
      </c>
      <c r="F30" s="6">
        <v>0.42</v>
      </c>
    </row>
    <row r="31" spans="1:6" x14ac:dyDescent="0.25">
      <c r="A31">
        <v>120</v>
      </c>
      <c r="B31" t="s">
        <v>1</v>
      </c>
      <c r="C31" s="6">
        <v>-22.65</v>
      </c>
      <c r="D31" s="6">
        <v>0.65</v>
      </c>
      <c r="E31" s="6">
        <v>6</v>
      </c>
      <c r="F31" s="6">
        <v>0.42</v>
      </c>
    </row>
    <row r="32" spans="1:6" x14ac:dyDescent="0.25">
      <c r="A32">
        <v>180</v>
      </c>
      <c r="B32" t="s">
        <v>1</v>
      </c>
      <c r="C32" s="6">
        <v>-20.399999999999999</v>
      </c>
      <c r="D32" s="6">
        <v>0.91</v>
      </c>
      <c r="E32" s="6">
        <v>4.25</v>
      </c>
      <c r="F32" s="6">
        <v>0.05</v>
      </c>
    </row>
    <row r="33" spans="1:6" x14ac:dyDescent="0.25">
      <c r="A33">
        <v>180</v>
      </c>
      <c r="B33" t="s">
        <v>1</v>
      </c>
      <c r="C33" s="6">
        <v>-20.399999999999999</v>
      </c>
      <c r="D33" s="6">
        <v>0.91</v>
      </c>
      <c r="E33" s="6">
        <v>4.25</v>
      </c>
      <c r="F33" s="6">
        <v>0.05</v>
      </c>
    </row>
    <row r="34" spans="1:6" x14ac:dyDescent="0.25">
      <c r="A34">
        <v>180</v>
      </c>
      <c r="B34" t="s">
        <v>1</v>
      </c>
      <c r="C34" s="6">
        <v>-20.399999999999999</v>
      </c>
      <c r="D34" s="6">
        <v>0.91</v>
      </c>
      <c r="E34" s="6">
        <v>4.25</v>
      </c>
      <c r="F34" s="6">
        <v>0.05</v>
      </c>
    </row>
    <row r="35" spans="1:6" x14ac:dyDescent="0.25">
      <c r="A35">
        <v>240</v>
      </c>
      <c r="B35" t="s">
        <v>1</v>
      </c>
      <c r="C35" s="7">
        <v>-21.31</v>
      </c>
      <c r="D35" s="7">
        <v>0.94</v>
      </c>
      <c r="E35" s="7">
        <v>5.16</v>
      </c>
      <c r="F35" s="7">
        <v>0.39</v>
      </c>
    </row>
    <row r="36" spans="1:6" x14ac:dyDescent="0.25">
      <c r="A36">
        <v>240</v>
      </c>
      <c r="B36" t="s">
        <v>1</v>
      </c>
      <c r="C36" s="7">
        <v>-21.31</v>
      </c>
      <c r="D36" s="7">
        <v>0.94</v>
      </c>
      <c r="E36" s="7">
        <v>5.16</v>
      </c>
      <c r="F36" s="7">
        <v>0.39</v>
      </c>
    </row>
    <row r="37" spans="1:6" x14ac:dyDescent="0.25">
      <c r="A37">
        <v>240</v>
      </c>
      <c r="B37" t="s">
        <v>1</v>
      </c>
      <c r="C37" s="7">
        <v>-21.31</v>
      </c>
      <c r="D37" s="7">
        <v>0.94</v>
      </c>
      <c r="E37" s="7">
        <v>5.16</v>
      </c>
      <c r="F37" s="7">
        <v>0.39</v>
      </c>
    </row>
    <row r="38" spans="1:6" x14ac:dyDescent="0.25">
      <c r="A38">
        <v>300</v>
      </c>
      <c r="B38" t="s">
        <v>1</v>
      </c>
      <c r="C38" s="6">
        <v>-22.22</v>
      </c>
      <c r="D38" s="6">
        <v>0.98</v>
      </c>
      <c r="E38" s="6">
        <v>3.11</v>
      </c>
      <c r="F38" s="6">
        <v>0.38</v>
      </c>
    </row>
    <row r="39" spans="1:6" x14ac:dyDescent="0.25">
      <c r="A39">
        <v>300</v>
      </c>
      <c r="B39" t="s">
        <v>1</v>
      </c>
      <c r="C39" s="6">
        <v>-22.22</v>
      </c>
      <c r="D39" s="6">
        <v>0.98</v>
      </c>
      <c r="E39" s="6">
        <v>3.11</v>
      </c>
      <c r="F39" s="6">
        <v>0.38</v>
      </c>
    </row>
    <row r="40" spans="1:6" x14ac:dyDescent="0.25">
      <c r="A40">
        <v>300</v>
      </c>
      <c r="B40" t="s">
        <v>1</v>
      </c>
      <c r="C40" s="6">
        <v>-22.22</v>
      </c>
      <c r="D40" s="6">
        <v>0.98</v>
      </c>
      <c r="E40" s="6">
        <v>3.11</v>
      </c>
      <c r="F40" s="6">
        <v>0.38</v>
      </c>
    </row>
    <row r="41" spans="1:6" x14ac:dyDescent="0.25">
      <c r="A41">
        <v>360</v>
      </c>
      <c r="B41" t="s">
        <v>1</v>
      </c>
      <c r="C41" s="6">
        <v>-18.59</v>
      </c>
      <c r="D41" s="6">
        <v>0.36</v>
      </c>
      <c r="E41" s="6">
        <v>8.15</v>
      </c>
      <c r="F41" s="6">
        <v>0.52</v>
      </c>
    </row>
    <row r="42" spans="1:6" x14ac:dyDescent="0.25">
      <c r="A42">
        <v>360</v>
      </c>
      <c r="B42" t="s">
        <v>1</v>
      </c>
      <c r="C42" s="6">
        <v>-18.59</v>
      </c>
      <c r="D42" s="6">
        <v>0.36</v>
      </c>
      <c r="E42" s="6">
        <v>8.15</v>
      </c>
      <c r="F42" s="6">
        <v>0.52</v>
      </c>
    </row>
    <row r="43" spans="1:6" x14ac:dyDescent="0.25">
      <c r="A43">
        <v>360</v>
      </c>
      <c r="B43" t="s">
        <v>1</v>
      </c>
      <c r="C43" s="6">
        <v>-18.59</v>
      </c>
      <c r="D43" s="6">
        <v>0.36</v>
      </c>
      <c r="E43" s="6">
        <v>8.15</v>
      </c>
      <c r="F43" s="6">
        <v>0.52</v>
      </c>
    </row>
    <row r="44" spans="1:6" x14ac:dyDescent="0.25">
      <c r="A44">
        <v>0</v>
      </c>
      <c r="B44" t="s">
        <v>0</v>
      </c>
      <c r="C44" s="6">
        <v>-29.35</v>
      </c>
      <c r="D44" s="6">
        <v>0.38</v>
      </c>
      <c r="E44" s="6">
        <v>7.27</v>
      </c>
      <c r="F44" s="6">
        <v>0.21</v>
      </c>
    </row>
    <row r="45" spans="1:6" x14ac:dyDescent="0.25">
      <c r="A45">
        <v>0</v>
      </c>
      <c r="B45" t="s">
        <v>0</v>
      </c>
      <c r="C45" s="6">
        <v>-29.35</v>
      </c>
      <c r="D45" s="6">
        <v>0.38</v>
      </c>
      <c r="E45" s="6">
        <v>7.27</v>
      </c>
      <c r="F45" s="6">
        <v>0.21</v>
      </c>
    </row>
    <row r="46" spans="1:6" x14ac:dyDescent="0.25">
      <c r="A46">
        <v>0</v>
      </c>
      <c r="B46" t="s">
        <v>0</v>
      </c>
      <c r="C46" s="6">
        <v>-29.35</v>
      </c>
      <c r="D46" s="6">
        <v>0.38</v>
      </c>
      <c r="E46" s="6">
        <v>7.27</v>
      </c>
      <c r="F46" s="6">
        <v>0.21</v>
      </c>
    </row>
    <row r="47" spans="1:6" x14ac:dyDescent="0.25">
      <c r="A47">
        <v>60</v>
      </c>
      <c r="B47" t="s">
        <v>0</v>
      </c>
      <c r="C47" s="6">
        <v>-26.97</v>
      </c>
      <c r="D47" s="6">
        <v>0.08</v>
      </c>
      <c r="E47" s="6">
        <v>6.43</v>
      </c>
      <c r="F47" s="6">
        <v>0.13</v>
      </c>
    </row>
    <row r="48" spans="1:6" x14ac:dyDescent="0.25">
      <c r="A48">
        <v>60</v>
      </c>
      <c r="B48" t="s">
        <v>0</v>
      </c>
      <c r="C48" s="6">
        <v>-26.97</v>
      </c>
      <c r="D48" s="6">
        <v>0.08</v>
      </c>
      <c r="E48" s="6">
        <v>6.43</v>
      </c>
      <c r="F48" s="6">
        <v>0.13</v>
      </c>
    </row>
    <row r="49" spans="1:6" x14ac:dyDescent="0.25">
      <c r="A49">
        <v>60</v>
      </c>
      <c r="B49" t="s">
        <v>0</v>
      </c>
      <c r="C49" s="6">
        <v>-26.97</v>
      </c>
      <c r="D49" s="6">
        <v>0.08</v>
      </c>
      <c r="E49" s="6">
        <v>6.43</v>
      </c>
      <c r="F49" s="6">
        <v>0.13</v>
      </c>
    </row>
    <row r="50" spans="1:6" x14ac:dyDescent="0.25">
      <c r="A50">
        <v>120</v>
      </c>
      <c r="B50" t="s">
        <v>0</v>
      </c>
      <c r="C50" s="6">
        <v>-30.57</v>
      </c>
      <c r="D50" s="6">
        <v>0.03</v>
      </c>
      <c r="E50" s="6">
        <v>8.1999999999999993</v>
      </c>
      <c r="F50" s="6">
        <v>0.27</v>
      </c>
    </row>
    <row r="51" spans="1:6" x14ac:dyDescent="0.25">
      <c r="A51">
        <v>120</v>
      </c>
      <c r="B51" t="s">
        <v>0</v>
      </c>
      <c r="C51" s="6">
        <v>-30.57</v>
      </c>
      <c r="D51" s="6">
        <v>0.03</v>
      </c>
      <c r="E51" s="6">
        <v>8.1999999999999993</v>
      </c>
      <c r="F51" s="6">
        <v>0.27</v>
      </c>
    </row>
    <row r="52" spans="1:6" x14ac:dyDescent="0.25">
      <c r="A52">
        <v>120</v>
      </c>
      <c r="B52" t="s">
        <v>0</v>
      </c>
      <c r="C52" s="6">
        <v>-30.57</v>
      </c>
      <c r="D52" s="6">
        <v>0.03</v>
      </c>
      <c r="E52" s="6">
        <v>8.1999999999999993</v>
      </c>
      <c r="F52" s="6">
        <v>0.27</v>
      </c>
    </row>
    <row r="53" spans="1:6" x14ac:dyDescent="0.25">
      <c r="A53">
        <v>180</v>
      </c>
      <c r="B53" t="s">
        <v>0</v>
      </c>
      <c r="C53" s="6">
        <v>-28.5</v>
      </c>
      <c r="D53" s="6">
        <v>0.08</v>
      </c>
      <c r="E53" s="6">
        <v>3.81</v>
      </c>
      <c r="F53" s="6">
        <v>0.51</v>
      </c>
    </row>
    <row r="54" spans="1:6" x14ac:dyDescent="0.25">
      <c r="A54">
        <v>180</v>
      </c>
      <c r="B54" t="s">
        <v>0</v>
      </c>
      <c r="C54" s="6">
        <v>-28.5</v>
      </c>
      <c r="D54" s="6">
        <v>0.08</v>
      </c>
      <c r="E54" s="6">
        <v>3.81</v>
      </c>
      <c r="F54" s="6">
        <v>0.51</v>
      </c>
    </row>
    <row r="55" spans="1:6" x14ac:dyDescent="0.25">
      <c r="A55">
        <v>180</v>
      </c>
      <c r="B55" t="s">
        <v>0</v>
      </c>
      <c r="C55" s="6">
        <v>-28.5</v>
      </c>
      <c r="D55" s="6">
        <v>0.08</v>
      </c>
      <c r="E55" s="6">
        <v>3.81</v>
      </c>
      <c r="F55" s="6">
        <v>0.51</v>
      </c>
    </row>
    <row r="56" spans="1:6" x14ac:dyDescent="0.25">
      <c r="A56">
        <v>240</v>
      </c>
      <c r="B56" t="s">
        <v>0</v>
      </c>
      <c r="C56" s="8">
        <v>-28.42</v>
      </c>
      <c r="D56" s="8">
        <v>6.5000000000000002E-2</v>
      </c>
      <c r="E56" s="6">
        <v>6.37</v>
      </c>
      <c r="F56" s="6">
        <v>0.52</v>
      </c>
    </row>
    <row r="57" spans="1:6" x14ac:dyDescent="0.25">
      <c r="A57">
        <v>240</v>
      </c>
      <c r="B57" t="s">
        <v>0</v>
      </c>
      <c r="C57" s="8">
        <v>-28.42</v>
      </c>
      <c r="D57" s="8">
        <v>6.5000000000000002E-2</v>
      </c>
      <c r="E57" s="6">
        <v>6.37</v>
      </c>
      <c r="F57" s="6">
        <v>0.52</v>
      </c>
    </row>
    <row r="58" spans="1:6" x14ac:dyDescent="0.25">
      <c r="A58">
        <v>240</v>
      </c>
      <c r="B58" t="s">
        <v>0</v>
      </c>
      <c r="C58" s="8">
        <v>-28.42</v>
      </c>
      <c r="D58" s="8">
        <v>6.5000000000000002E-2</v>
      </c>
      <c r="E58" s="6">
        <v>6.37</v>
      </c>
      <c r="F58" s="6">
        <v>0.52</v>
      </c>
    </row>
    <row r="59" spans="1:6" x14ac:dyDescent="0.25">
      <c r="A59">
        <v>300</v>
      </c>
      <c r="B59" t="s">
        <v>0</v>
      </c>
      <c r="C59" s="6">
        <v>-28.34</v>
      </c>
      <c r="D59" s="6">
        <v>0.05</v>
      </c>
      <c r="E59" s="6">
        <v>6.51</v>
      </c>
      <c r="F59" s="6">
        <v>0.27</v>
      </c>
    </row>
    <row r="60" spans="1:6" x14ac:dyDescent="0.25">
      <c r="A60">
        <v>300</v>
      </c>
      <c r="B60" t="s">
        <v>0</v>
      </c>
      <c r="C60" s="6">
        <v>-28.34</v>
      </c>
      <c r="D60" s="6">
        <v>0.05</v>
      </c>
      <c r="E60" s="6">
        <v>6.51</v>
      </c>
      <c r="F60" s="6">
        <v>0.27</v>
      </c>
    </row>
    <row r="61" spans="1:6" x14ac:dyDescent="0.25">
      <c r="A61">
        <v>300</v>
      </c>
      <c r="B61" t="s">
        <v>0</v>
      </c>
      <c r="C61" s="6">
        <v>-28.34</v>
      </c>
      <c r="D61" s="6">
        <v>0.05</v>
      </c>
      <c r="E61" s="6">
        <v>6.51</v>
      </c>
      <c r="F61" s="6">
        <v>0.27</v>
      </c>
    </row>
    <row r="62" spans="1:6" x14ac:dyDescent="0.25">
      <c r="A62">
        <v>360</v>
      </c>
      <c r="B62" t="s">
        <v>0</v>
      </c>
      <c r="C62" s="6">
        <v>-30</v>
      </c>
      <c r="D62" s="6">
        <v>0.22</v>
      </c>
      <c r="E62" s="6">
        <v>9.14</v>
      </c>
      <c r="F62" s="6">
        <v>0.32</v>
      </c>
    </row>
    <row r="63" spans="1:6" x14ac:dyDescent="0.25">
      <c r="A63">
        <v>360</v>
      </c>
      <c r="B63" t="s">
        <v>0</v>
      </c>
      <c r="C63" s="6">
        <v>-30</v>
      </c>
      <c r="D63" s="6">
        <v>0.22</v>
      </c>
      <c r="E63" s="6">
        <v>9.14</v>
      </c>
      <c r="F63" s="6">
        <v>0.32</v>
      </c>
    </row>
    <row r="64" spans="1:6" x14ac:dyDescent="0.25">
      <c r="A64">
        <v>360</v>
      </c>
      <c r="B64" t="s">
        <v>0</v>
      </c>
      <c r="C64" s="6">
        <v>-30</v>
      </c>
      <c r="D64" s="6">
        <v>0.22</v>
      </c>
      <c r="E64" s="6">
        <v>9.14</v>
      </c>
      <c r="F64" s="6">
        <v>0.32</v>
      </c>
    </row>
    <row r="65" spans="1:6" x14ac:dyDescent="0.25">
      <c r="A65">
        <v>0</v>
      </c>
      <c r="B65" t="s">
        <v>2</v>
      </c>
      <c r="C65" s="5">
        <v>-16.005471190820142</v>
      </c>
      <c r="D65" s="5">
        <v>0.1088361807466022</v>
      </c>
      <c r="E65" s="5">
        <v>6.6119394843702137</v>
      </c>
      <c r="F65" s="5">
        <v>0.32698419402682932</v>
      </c>
    </row>
    <row r="66" spans="1:6" x14ac:dyDescent="0.25">
      <c r="A66">
        <v>0</v>
      </c>
      <c r="B66" t="s">
        <v>2</v>
      </c>
      <c r="C66" s="5">
        <v>-16.005471190820142</v>
      </c>
      <c r="D66" s="5">
        <v>0.1088361807466022</v>
      </c>
      <c r="E66" s="5">
        <v>6.6119394843702137</v>
      </c>
      <c r="F66" s="5">
        <v>0.32698419402682932</v>
      </c>
    </row>
    <row r="67" spans="1:6" x14ac:dyDescent="0.25">
      <c r="A67">
        <v>0</v>
      </c>
      <c r="B67" t="s">
        <v>2</v>
      </c>
      <c r="C67" s="5">
        <v>-16.005471190820142</v>
      </c>
      <c r="D67" s="5">
        <v>0.1088361807466022</v>
      </c>
      <c r="E67" s="5">
        <v>6.6119394843702137</v>
      </c>
      <c r="F67" s="5">
        <v>0.32698419402682932</v>
      </c>
    </row>
    <row r="68" spans="1:6" x14ac:dyDescent="0.25">
      <c r="A68">
        <v>60</v>
      </c>
      <c r="B68" t="s">
        <v>2</v>
      </c>
      <c r="C68" s="6">
        <v>-17.364308414740506</v>
      </c>
      <c r="D68" s="6">
        <v>0.69741284114379876</v>
      </c>
      <c r="E68" s="6">
        <v>10.677038076732632</v>
      </c>
      <c r="F68" s="6">
        <v>0.18876156687754186</v>
      </c>
    </row>
    <row r="69" spans="1:6" x14ac:dyDescent="0.25">
      <c r="A69">
        <v>60</v>
      </c>
      <c r="B69" t="s">
        <v>2</v>
      </c>
      <c r="C69" s="6">
        <v>-17.364308414740506</v>
      </c>
      <c r="D69" s="6">
        <v>0.69741284114379876</v>
      </c>
      <c r="E69" s="6">
        <v>10.677038076732632</v>
      </c>
      <c r="F69" s="6">
        <v>0.18876156687754186</v>
      </c>
    </row>
    <row r="70" spans="1:6" x14ac:dyDescent="0.25">
      <c r="A70">
        <v>60</v>
      </c>
      <c r="B70" t="s">
        <v>2</v>
      </c>
      <c r="C70" s="6">
        <v>-17.364308414740506</v>
      </c>
      <c r="D70" s="6">
        <v>0.69741284114379876</v>
      </c>
      <c r="E70" s="6">
        <v>10.677038076732632</v>
      </c>
      <c r="F70" s="6">
        <v>0.18876156687754186</v>
      </c>
    </row>
    <row r="71" spans="1:6" x14ac:dyDescent="0.25">
      <c r="A71">
        <v>120</v>
      </c>
      <c r="B71" t="s">
        <v>2</v>
      </c>
      <c r="C71" s="5">
        <v>-15.273057054727856</v>
      </c>
      <c r="D71" s="5">
        <v>0.85356841126715088</v>
      </c>
      <c r="E71" s="5">
        <v>9.9227900578412687</v>
      </c>
      <c r="F71" s="5">
        <v>3.5629266953439646E-2</v>
      </c>
    </row>
    <row r="72" spans="1:6" x14ac:dyDescent="0.25">
      <c r="A72">
        <v>120</v>
      </c>
      <c r="B72" t="s">
        <v>2</v>
      </c>
      <c r="C72" s="5">
        <v>-15.273057054727856</v>
      </c>
      <c r="D72" s="5">
        <v>0.85356841126715088</v>
      </c>
      <c r="E72" s="5">
        <v>9.9227900578412687</v>
      </c>
      <c r="F72" s="5">
        <v>3.5629266953439646E-2</v>
      </c>
    </row>
    <row r="73" spans="1:6" x14ac:dyDescent="0.25">
      <c r="A73">
        <v>120</v>
      </c>
      <c r="B73" t="s">
        <v>2</v>
      </c>
      <c r="C73" s="5">
        <v>-15.273057054727856</v>
      </c>
      <c r="D73" s="5">
        <v>0.85356841126715088</v>
      </c>
      <c r="E73" s="5">
        <v>9.9227900578412687</v>
      </c>
      <c r="F73" s="5">
        <v>3.5629266953439646E-2</v>
      </c>
    </row>
    <row r="74" spans="1:6" x14ac:dyDescent="0.25">
      <c r="A74">
        <v>180</v>
      </c>
      <c r="B74" t="s">
        <v>2</v>
      </c>
      <c r="C74" s="5">
        <v>-16.349467179565824</v>
      </c>
      <c r="D74" s="5">
        <v>0.42303491300285989</v>
      </c>
      <c r="E74" s="5">
        <v>10.389236633748453</v>
      </c>
      <c r="F74" s="5">
        <v>0.4189309141177826</v>
      </c>
    </row>
    <row r="75" spans="1:6" x14ac:dyDescent="0.25">
      <c r="A75">
        <v>180</v>
      </c>
      <c r="B75" t="s">
        <v>2</v>
      </c>
      <c r="C75" s="5">
        <v>-16.349467179565824</v>
      </c>
      <c r="D75" s="5">
        <v>0.42303491300285989</v>
      </c>
      <c r="E75" s="5">
        <v>10.389236633748453</v>
      </c>
      <c r="F75" s="5">
        <v>0.4189309141177826</v>
      </c>
    </row>
    <row r="76" spans="1:6" x14ac:dyDescent="0.25">
      <c r="A76">
        <v>180</v>
      </c>
      <c r="B76" t="s">
        <v>2</v>
      </c>
      <c r="C76" s="5">
        <v>-16.349467179565824</v>
      </c>
      <c r="D76" s="5">
        <v>0.42303491300285989</v>
      </c>
      <c r="E76" s="5">
        <v>10.389236633748453</v>
      </c>
      <c r="F76" s="5">
        <v>0.4189309141177826</v>
      </c>
    </row>
    <row r="77" spans="1:6" x14ac:dyDescent="0.25">
      <c r="A77">
        <v>240</v>
      </c>
      <c r="B77" t="s">
        <v>2</v>
      </c>
      <c r="C77" s="5">
        <v>-18.885128660098417</v>
      </c>
      <c r="D77" s="5">
        <v>2.192769376091553E-2</v>
      </c>
      <c r="E77" s="5">
        <v>9.9674872785213573</v>
      </c>
      <c r="F77" s="5">
        <v>2.5148947671462599E-2</v>
      </c>
    </row>
    <row r="78" spans="1:6" x14ac:dyDescent="0.25">
      <c r="A78">
        <v>240</v>
      </c>
      <c r="B78" t="s">
        <v>2</v>
      </c>
      <c r="C78" s="5">
        <v>-18.885128660098417</v>
      </c>
      <c r="D78" s="5">
        <v>2.192769376091553E-2</v>
      </c>
      <c r="E78" s="5">
        <v>9.9674872785213573</v>
      </c>
      <c r="F78" s="5">
        <v>2.5148947671462599E-2</v>
      </c>
    </row>
    <row r="79" spans="1:6" x14ac:dyDescent="0.25">
      <c r="A79">
        <v>240</v>
      </c>
      <c r="B79" t="s">
        <v>2</v>
      </c>
      <c r="C79" s="5">
        <v>-18.885128660098417</v>
      </c>
      <c r="D79" s="5">
        <v>2.192769376091553E-2</v>
      </c>
      <c r="E79" s="5">
        <v>9.9674872785213573</v>
      </c>
      <c r="F79" s="5">
        <v>2.5148947671462599E-2</v>
      </c>
    </row>
    <row r="80" spans="1:6" x14ac:dyDescent="0.25">
      <c r="A80">
        <v>300</v>
      </c>
      <c r="B80" t="s">
        <v>2</v>
      </c>
      <c r="C80" s="5">
        <v>-19.710413135165986</v>
      </c>
      <c r="D80" s="5">
        <v>7.3926613838380464E-2</v>
      </c>
      <c r="E80" s="5">
        <v>10.303283543932166</v>
      </c>
      <c r="F80" s="5">
        <v>0.12409830475467482</v>
      </c>
    </row>
    <row r="81" spans="1:6" x14ac:dyDescent="0.25">
      <c r="A81">
        <v>300</v>
      </c>
      <c r="B81" t="s">
        <v>2</v>
      </c>
      <c r="C81" s="5">
        <v>-19.710413135165986</v>
      </c>
      <c r="D81" s="5">
        <v>7.3926613838380464E-2</v>
      </c>
      <c r="E81" s="5">
        <v>10.303283543932166</v>
      </c>
      <c r="F81" s="5">
        <v>0.12409830475467482</v>
      </c>
    </row>
    <row r="82" spans="1:6" x14ac:dyDescent="0.25">
      <c r="A82">
        <v>300</v>
      </c>
      <c r="B82" t="s">
        <v>2</v>
      </c>
      <c r="C82" s="5">
        <v>-19.710413135165986</v>
      </c>
      <c r="D82" s="5">
        <v>7.3926613838380464E-2</v>
      </c>
      <c r="E82" s="5">
        <v>10.303283543932166</v>
      </c>
      <c r="F82" s="5">
        <v>0.12409830475467482</v>
      </c>
    </row>
    <row r="83" spans="1:6" x14ac:dyDescent="0.25">
      <c r="A83">
        <v>360</v>
      </c>
      <c r="B83" t="s">
        <v>2</v>
      </c>
      <c r="C83" s="5">
        <v>-15.867584559713872</v>
      </c>
      <c r="D83" s="5">
        <v>0.10322399608197992</v>
      </c>
      <c r="E83" s="5">
        <v>7.4343938354163548</v>
      </c>
      <c r="F83" s="5">
        <v>0.12696677811740051</v>
      </c>
    </row>
    <row r="84" spans="1:6" x14ac:dyDescent="0.25">
      <c r="A84">
        <v>360</v>
      </c>
      <c r="B84" t="s">
        <v>2</v>
      </c>
      <c r="C84" s="5">
        <v>-15.867584559713872</v>
      </c>
      <c r="D84" s="5">
        <v>0.10322399608197992</v>
      </c>
      <c r="E84" s="5">
        <v>7.4343938354163548</v>
      </c>
      <c r="F84" s="5">
        <v>0.12696677811740051</v>
      </c>
    </row>
    <row r="85" spans="1:6" x14ac:dyDescent="0.25">
      <c r="A85">
        <v>360</v>
      </c>
      <c r="B85" t="s">
        <v>2</v>
      </c>
      <c r="C85" s="5">
        <v>-15.867584559713872</v>
      </c>
      <c r="D85" s="5">
        <v>0.10322399608197992</v>
      </c>
      <c r="E85" s="5">
        <v>7.4343938354163548</v>
      </c>
      <c r="F85" s="5">
        <v>0.12696677811740051</v>
      </c>
    </row>
  </sheetData>
  <sortState ref="A2:F85">
    <sortCondition ref="B2:B85"/>
    <sortCondition ref="A2:A85"/>
  </sortState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F879B-878A-E249-B780-F351E4842E98}">
  <dimension ref="A1:G22"/>
  <sheetViews>
    <sheetView workbookViewId="0">
      <selection activeCell="A2" sqref="A2:A4"/>
    </sheetView>
  </sheetViews>
  <sheetFormatPr baseColWidth="10" defaultRowHeight="15" x14ac:dyDescent="0.25"/>
  <sheetData>
    <row r="1" spans="1:7" x14ac:dyDescent="0.25">
      <c r="A1" s="2" t="s">
        <v>3</v>
      </c>
      <c r="B1" s="2" t="s">
        <v>4</v>
      </c>
      <c r="C1" s="3" t="s">
        <v>5</v>
      </c>
      <c r="D1" t="s">
        <v>6</v>
      </c>
      <c r="E1" t="s">
        <v>14</v>
      </c>
      <c r="F1" t="s">
        <v>15</v>
      </c>
      <c r="G1" t="s">
        <v>16</v>
      </c>
    </row>
    <row r="2" spans="1:7" x14ac:dyDescent="0.25">
      <c r="A2" s="4">
        <v>-19.321843502872127</v>
      </c>
      <c r="B2" s="4">
        <v>6.8068940065464787</v>
      </c>
      <c r="C2">
        <v>0</v>
      </c>
      <c r="D2">
        <v>2.7E-2</v>
      </c>
      <c r="E2">
        <v>1E-3</v>
      </c>
      <c r="F2">
        <f>D2/E2^2</f>
        <v>27000</v>
      </c>
      <c r="G2">
        <f>D2*F2</f>
        <v>729</v>
      </c>
    </row>
    <row r="3" spans="1:7" x14ac:dyDescent="0.25">
      <c r="A3" s="4">
        <v>-19.220915377274089</v>
      </c>
      <c r="B3" s="4">
        <v>6.8946619472368784</v>
      </c>
      <c r="C3">
        <v>0</v>
      </c>
      <c r="D3">
        <v>2.7E-2</v>
      </c>
      <c r="E3">
        <f>E2</f>
        <v>1E-3</v>
      </c>
      <c r="F3">
        <f t="shared" ref="F3:F19" si="0">D3/E3^2</f>
        <v>27000</v>
      </c>
      <c r="G3">
        <f t="shared" ref="G3:G19" si="1">D3*F3</f>
        <v>729</v>
      </c>
    </row>
    <row r="4" spans="1:7" x14ac:dyDescent="0.25">
      <c r="A4" s="4">
        <v>-19.377448333698961</v>
      </c>
      <c r="B4" s="4">
        <v>6.9077391484393358</v>
      </c>
      <c r="C4">
        <v>0</v>
      </c>
      <c r="D4">
        <v>2.7E-2</v>
      </c>
      <c r="E4">
        <v>1E-3</v>
      </c>
      <c r="F4">
        <f t="shared" si="0"/>
        <v>27000</v>
      </c>
      <c r="G4">
        <f t="shared" si="1"/>
        <v>729</v>
      </c>
    </row>
    <row r="5" spans="1:7" x14ac:dyDescent="0.25">
      <c r="A5" s="4">
        <v>-19.064867749221008</v>
      </c>
      <c r="B5" s="4">
        <v>8.8246463341967036</v>
      </c>
      <c r="C5">
        <v>60</v>
      </c>
      <c r="D5">
        <v>1.9E-2</v>
      </c>
      <c r="E5">
        <v>1E-3</v>
      </c>
      <c r="F5">
        <f t="shared" si="0"/>
        <v>19000</v>
      </c>
      <c r="G5">
        <f t="shared" si="1"/>
        <v>361</v>
      </c>
    </row>
    <row r="6" spans="1:7" x14ac:dyDescent="0.25">
      <c r="A6" s="4">
        <v>-19.238298013133203</v>
      </c>
      <c r="B6" s="4">
        <v>8.9030767015316563</v>
      </c>
      <c r="C6">
        <v>60</v>
      </c>
      <c r="D6">
        <v>1.9E-2</v>
      </c>
      <c r="E6">
        <v>1E-3</v>
      </c>
      <c r="F6">
        <f t="shared" si="0"/>
        <v>19000</v>
      </c>
      <c r="G6">
        <f t="shared" si="1"/>
        <v>361</v>
      </c>
    </row>
    <row r="7" spans="1:7" x14ac:dyDescent="0.25">
      <c r="A7" s="4">
        <v>-19.120311313579709</v>
      </c>
      <c r="B7" s="4">
        <v>9.0904143418814911</v>
      </c>
      <c r="C7">
        <v>60</v>
      </c>
      <c r="D7">
        <v>1.9E-2</v>
      </c>
      <c r="E7">
        <v>1E-3</v>
      </c>
      <c r="F7">
        <f t="shared" si="0"/>
        <v>19000</v>
      </c>
      <c r="G7">
        <f t="shared" si="1"/>
        <v>361</v>
      </c>
    </row>
    <row r="8" spans="1:7" x14ac:dyDescent="0.25">
      <c r="A8" s="4">
        <v>-19.078343703089288</v>
      </c>
      <c r="B8" s="4">
        <v>10.030890048788102</v>
      </c>
      <c r="C8">
        <v>120</v>
      </c>
      <c r="D8">
        <v>1.0999999999999999E-2</v>
      </c>
      <c r="E8">
        <v>1E-3</v>
      </c>
      <c r="F8">
        <f t="shared" si="0"/>
        <v>11000</v>
      </c>
      <c r="G8">
        <f t="shared" si="1"/>
        <v>121</v>
      </c>
    </row>
    <row r="9" spans="1:7" ht="15.75" customHeight="1" x14ac:dyDescent="0.25">
      <c r="A9" s="4">
        <v>-19.135511821264291</v>
      </c>
      <c r="B9" s="4">
        <v>9.9444825851586209</v>
      </c>
      <c r="C9">
        <v>120</v>
      </c>
      <c r="D9">
        <v>1.0999999999999999E-2</v>
      </c>
      <c r="E9">
        <v>1E-3</v>
      </c>
      <c r="F9">
        <f t="shared" si="0"/>
        <v>11000</v>
      </c>
      <c r="G9">
        <f t="shared" si="1"/>
        <v>121</v>
      </c>
    </row>
    <row r="10" spans="1:7" x14ac:dyDescent="0.25">
      <c r="A10" s="4">
        <v>-19.114608402439949</v>
      </c>
      <c r="B10" s="4">
        <v>9.8476987330408221</v>
      </c>
      <c r="C10">
        <v>120</v>
      </c>
      <c r="D10">
        <v>1.0999999999999999E-2</v>
      </c>
      <c r="E10">
        <v>1E-3</v>
      </c>
      <c r="F10">
        <f t="shared" si="0"/>
        <v>11000</v>
      </c>
      <c r="G10">
        <f t="shared" si="1"/>
        <v>121</v>
      </c>
    </row>
    <row r="11" spans="1:7" x14ac:dyDescent="0.25">
      <c r="A11" s="4">
        <v>-19.42039621086429</v>
      </c>
      <c r="B11" s="4">
        <v>10.809705422682828</v>
      </c>
      <c r="C11">
        <v>180</v>
      </c>
      <c r="D11">
        <v>4.0000000000000001E-3</v>
      </c>
      <c r="E11">
        <v>1E-3</v>
      </c>
      <c r="F11">
        <f t="shared" si="0"/>
        <v>4000.0000000000005</v>
      </c>
      <c r="G11">
        <f t="shared" si="1"/>
        <v>16.000000000000004</v>
      </c>
    </row>
    <row r="12" spans="1:7" x14ac:dyDescent="0.25">
      <c r="A12" s="4">
        <v>-19.389808806145965</v>
      </c>
      <c r="B12" s="4">
        <v>11.001096553394067</v>
      </c>
      <c r="C12">
        <v>180</v>
      </c>
      <c r="D12">
        <v>4.0000000000000001E-3</v>
      </c>
      <c r="E12">
        <v>1E-3</v>
      </c>
      <c r="F12">
        <f t="shared" si="0"/>
        <v>4000.0000000000005</v>
      </c>
      <c r="G12">
        <f t="shared" si="1"/>
        <v>16.000000000000004</v>
      </c>
    </row>
    <row r="13" spans="1:7" x14ac:dyDescent="0.25">
      <c r="A13" s="4">
        <v>-19.318832752757615</v>
      </c>
      <c r="B13" s="4">
        <v>10.637223807461297</v>
      </c>
      <c r="C13">
        <v>180</v>
      </c>
      <c r="D13">
        <v>4.0000000000000001E-3</v>
      </c>
      <c r="E13">
        <v>1E-3</v>
      </c>
      <c r="F13">
        <f t="shared" si="0"/>
        <v>4000.0000000000005</v>
      </c>
      <c r="G13">
        <f t="shared" si="1"/>
        <v>16.000000000000004</v>
      </c>
    </row>
    <row r="14" spans="1:7" x14ac:dyDescent="0.25">
      <c r="A14" s="4">
        <v>-19.32246829802439</v>
      </c>
      <c r="B14" s="4">
        <v>10.309773060058582</v>
      </c>
      <c r="C14">
        <v>240</v>
      </c>
      <c r="D14">
        <v>8.9999999999999993E-3</v>
      </c>
      <c r="E14">
        <v>1E-3</v>
      </c>
      <c r="F14">
        <f t="shared" si="0"/>
        <v>9000</v>
      </c>
      <c r="G14">
        <f t="shared" si="1"/>
        <v>81</v>
      </c>
    </row>
    <row r="15" spans="1:7" x14ac:dyDescent="0.25">
      <c r="A15" s="4">
        <v>-19.518968359405996</v>
      </c>
      <c r="B15" s="4">
        <v>10.139285123344305</v>
      </c>
      <c r="C15">
        <v>240</v>
      </c>
      <c r="D15">
        <v>8.9999999999999993E-3</v>
      </c>
      <c r="E15">
        <v>1E-3</v>
      </c>
      <c r="F15">
        <f t="shared" si="0"/>
        <v>9000</v>
      </c>
      <c r="G15">
        <f t="shared" si="1"/>
        <v>81</v>
      </c>
    </row>
    <row r="16" spans="1:7" x14ac:dyDescent="0.25">
      <c r="A16" s="4">
        <v>-19.585350302476236</v>
      </c>
      <c r="B16" s="4">
        <v>10.51925316931337</v>
      </c>
      <c r="C16">
        <v>240</v>
      </c>
      <c r="D16">
        <v>8.9999999999999993E-3</v>
      </c>
      <c r="E16">
        <v>1E-3</v>
      </c>
      <c r="F16">
        <f t="shared" si="0"/>
        <v>9000</v>
      </c>
      <c r="G16">
        <f t="shared" si="1"/>
        <v>81</v>
      </c>
    </row>
    <row r="17" spans="1:7" x14ac:dyDescent="0.25">
      <c r="A17" s="4">
        <v>-19.91716269459944</v>
      </c>
      <c r="B17" s="4">
        <v>8.7910106404132655</v>
      </c>
      <c r="C17">
        <v>300</v>
      </c>
      <c r="D17">
        <v>1.4E-2</v>
      </c>
      <c r="E17">
        <v>1E-3</v>
      </c>
      <c r="F17">
        <f t="shared" si="0"/>
        <v>14000.000000000002</v>
      </c>
      <c r="G17">
        <f t="shared" si="1"/>
        <v>196.00000000000003</v>
      </c>
    </row>
    <row r="18" spans="1:7" x14ac:dyDescent="0.25">
      <c r="A18" s="4">
        <v>-20.08383781210766</v>
      </c>
      <c r="B18" s="4">
        <v>8.9833023637637339</v>
      </c>
      <c r="C18">
        <v>300</v>
      </c>
      <c r="D18">
        <v>1.4E-2</v>
      </c>
      <c r="E18">
        <v>1E-3</v>
      </c>
      <c r="F18">
        <f t="shared" si="0"/>
        <v>14000.000000000002</v>
      </c>
      <c r="G18">
        <f t="shared" si="1"/>
        <v>196.00000000000003</v>
      </c>
    </row>
    <row r="19" spans="1:7" x14ac:dyDescent="0.25">
      <c r="A19" s="4">
        <v>-19.902469526460816</v>
      </c>
      <c r="B19" s="4">
        <v>9.4497893808375064</v>
      </c>
      <c r="C19">
        <v>300</v>
      </c>
      <c r="D19">
        <v>1.4E-2</v>
      </c>
      <c r="E19">
        <v>1E-3</v>
      </c>
      <c r="F19">
        <f t="shared" si="0"/>
        <v>14000.000000000002</v>
      </c>
      <c r="G19">
        <f t="shared" si="1"/>
        <v>196.00000000000003</v>
      </c>
    </row>
    <row r="20" spans="1:7" x14ac:dyDescent="0.25">
      <c r="A20" s="4">
        <v>-19.153815275375823</v>
      </c>
      <c r="B20" s="4">
        <v>9.0211933762952619</v>
      </c>
      <c r="C20">
        <v>360</v>
      </c>
      <c r="D20">
        <v>1.4E-2</v>
      </c>
      <c r="E20">
        <v>1E-3</v>
      </c>
      <c r="F20">
        <f t="shared" ref="F20:F22" si="2">D20/E20^2</f>
        <v>14000.000000000002</v>
      </c>
      <c r="G20">
        <f t="shared" ref="G20:G22" si="3">D20*F20</f>
        <v>196.00000000000003</v>
      </c>
    </row>
    <row r="21" spans="1:7" x14ac:dyDescent="0.25">
      <c r="A21" s="4">
        <v>-19.167053756537861</v>
      </c>
      <c r="B21" s="4">
        <v>8.8810395703470082</v>
      </c>
      <c r="C21">
        <v>360</v>
      </c>
      <c r="D21">
        <v>1.4E-2</v>
      </c>
      <c r="E21">
        <v>1E-3</v>
      </c>
      <c r="F21">
        <f t="shared" si="2"/>
        <v>14000.000000000002</v>
      </c>
      <c r="G21">
        <f t="shared" si="3"/>
        <v>196.00000000000003</v>
      </c>
    </row>
    <row r="22" spans="1:7" x14ac:dyDescent="0.25">
      <c r="A22" s="4">
        <v>-19.209275833381483</v>
      </c>
      <c r="B22" s="4">
        <v>9.0420820319392057</v>
      </c>
      <c r="C22">
        <v>360</v>
      </c>
      <c r="D22">
        <v>1.4E-2</v>
      </c>
      <c r="E22">
        <v>1E-3</v>
      </c>
      <c r="F22">
        <f t="shared" si="2"/>
        <v>14000.000000000002</v>
      </c>
      <c r="G22">
        <f t="shared" si="3"/>
        <v>196.00000000000003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1540A-3129-3B4F-A455-E4C8E7533032}">
  <dimension ref="A1:E22"/>
  <sheetViews>
    <sheetView topLeftCell="A10" workbookViewId="0">
      <selection activeCell="B15" sqref="B15"/>
    </sheetView>
  </sheetViews>
  <sheetFormatPr baseColWidth="10" defaultRowHeight="15" x14ac:dyDescent="0.25"/>
  <sheetData>
    <row r="1" spans="1:5" x14ac:dyDescent="0.25">
      <c r="A1" t="s">
        <v>5</v>
      </c>
      <c r="B1" t="s">
        <v>13</v>
      </c>
      <c r="C1" t="s">
        <v>1</v>
      </c>
      <c r="D1" t="s">
        <v>0</v>
      </c>
    </row>
    <row r="2" spans="1:5" x14ac:dyDescent="0.25">
      <c r="A2">
        <v>0</v>
      </c>
      <c r="B2" s="5">
        <v>-15.56</v>
      </c>
      <c r="C2" s="6">
        <v>-21.91</v>
      </c>
      <c r="D2" s="6">
        <v>-29.35</v>
      </c>
      <c r="E2" s="5"/>
    </row>
    <row r="3" spans="1:5" x14ac:dyDescent="0.25">
      <c r="A3">
        <v>0</v>
      </c>
      <c r="B3" s="5">
        <v>-15.56</v>
      </c>
      <c r="C3" s="6">
        <v>-21.91</v>
      </c>
      <c r="D3" s="6">
        <v>-29.35</v>
      </c>
      <c r="E3" s="5"/>
    </row>
    <row r="4" spans="1:5" x14ac:dyDescent="0.25">
      <c r="A4">
        <v>0</v>
      </c>
      <c r="B4" s="5">
        <v>-15.56</v>
      </c>
      <c r="C4" s="6">
        <v>-21.91</v>
      </c>
      <c r="D4" s="6">
        <v>-29.35</v>
      </c>
      <c r="E4" s="5"/>
    </row>
    <row r="5" spans="1:5" x14ac:dyDescent="0.25">
      <c r="A5">
        <v>60</v>
      </c>
      <c r="B5" s="6">
        <v>-17.600000000000001</v>
      </c>
      <c r="C5" s="6">
        <v>-20.47</v>
      </c>
      <c r="D5" s="6">
        <v>-26.97</v>
      </c>
      <c r="E5" s="6"/>
    </row>
    <row r="6" spans="1:5" x14ac:dyDescent="0.25">
      <c r="A6">
        <v>60</v>
      </c>
      <c r="B6" s="6">
        <v>-17.600000000000001</v>
      </c>
      <c r="C6" s="6">
        <v>-20.47</v>
      </c>
      <c r="D6" s="6">
        <v>-26.97</v>
      </c>
      <c r="E6" s="6"/>
    </row>
    <row r="7" spans="1:5" x14ac:dyDescent="0.25">
      <c r="A7">
        <v>60</v>
      </c>
      <c r="B7" s="6">
        <v>-17.600000000000001</v>
      </c>
      <c r="C7" s="6">
        <v>-20.47</v>
      </c>
      <c r="D7" s="6">
        <v>-26.97</v>
      </c>
      <c r="E7" s="6"/>
    </row>
    <row r="8" spans="1:5" x14ac:dyDescent="0.25">
      <c r="A8">
        <v>120</v>
      </c>
      <c r="B8" s="5">
        <v>-15.46</v>
      </c>
      <c r="C8" s="6">
        <v>-22.65</v>
      </c>
      <c r="D8" s="6">
        <v>-30.57</v>
      </c>
      <c r="E8" s="5"/>
    </row>
    <row r="9" spans="1:5" x14ac:dyDescent="0.25">
      <c r="A9">
        <v>120</v>
      </c>
      <c r="B9" s="5">
        <v>-15.46</v>
      </c>
      <c r="C9" s="6">
        <v>-22.65</v>
      </c>
      <c r="D9" s="6">
        <v>-30.57</v>
      </c>
      <c r="E9" s="5"/>
    </row>
    <row r="10" spans="1:5" x14ac:dyDescent="0.25">
      <c r="A10">
        <v>120</v>
      </c>
      <c r="B10" s="5">
        <v>-15.46</v>
      </c>
      <c r="C10" s="6">
        <v>-22.65</v>
      </c>
      <c r="D10" s="6">
        <v>-30.57</v>
      </c>
      <c r="E10" s="5"/>
    </row>
    <row r="11" spans="1:5" x14ac:dyDescent="0.25">
      <c r="A11">
        <v>180</v>
      </c>
      <c r="B11" s="5">
        <v>-17.57</v>
      </c>
      <c r="C11" s="6">
        <v>-20.399999999999999</v>
      </c>
      <c r="D11" s="6">
        <v>-28.5</v>
      </c>
      <c r="E11" s="5"/>
    </row>
    <row r="12" spans="1:5" x14ac:dyDescent="0.25">
      <c r="A12">
        <v>180</v>
      </c>
      <c r="B12" s="5">
        <v>-17.57</v>
      </c>
      <c r="C12" s="6">
        <v>-20.399999999999999</v>
      </c>
      <c r="D12" s="6">
        <v>-28.5</v>
      </c>
      <c r="E12" s="5"/>
    </row>
    <row r="13" spans="1:5" x14ac:dyDescent="0.25">
      <c r="A13">
        <v>180</v>
      </c>
      <c r="B13" s="5">
        <v>-17.57</v>
      </c>
      <c r="C13" s="6">
        <v>-20.399999999999999</v>
      </c>
      <c r="D13" s="6">
        <v>-28.5</v>
      </c>
      <c r="E13" s="5"/>
    </row>
    <row r="14" spans="1:5" x14ac:dyDescent="0.25">
      <c r="A14">
        <v>240</v>
      </c>
      <c r="B14" s="5">
        <v>-19.850000000000001</v>
      </c>
      <c r="C14" s="7">
        <v>-21.31</v>
      </c>
      <c r="D14" s="8">
        <v>-28.42</v>
      </c>
      <c r="E14" s="5"/>
    </row>
    <row r="15" spans="1:5" x14ac:dyDescent="0.25">
      <c r="A15">
        <v>240</v>
      </c>
      <c r="B15" s="5">
        <v>-19.850000000000001</v>
      </c>
      <c r="C15" s="7">
        <v>-21.31</v>
      </c>
      <c r="D15" s="8">
        <v>-28.42</v>
      </c>
      <c r="E15" s="5"/>
    </row>
    <row r="16" spans="1:5" x14ac:dyDescent="0.25">
      <c r="A16">
        <v>240</v>
      </c>
      <c r="B16" s="5">
        <v>-19.850000000000001</v>
      </c>
      <c r="C16" s="7">
        <v>-21.31</v>
      </c>
      <c r="D16" s="8">
        <v>-28.42</v>
      </c>
      <c r="E16" s="5"/>
    </row>
    <row r="17" spans="1:5" x14ac:dyDescent="0.25">
      <c r="A17">
        <v>300</v>
      </c>
      <c r="B17" s="5">
        <v>-20.5</v>
      </c>
      <c r="C17" s="6">
        <v>-22.22</v>
      </c>
      <c r="D17" s="6">
        <v>-28.34</v>
      </c>
      <c r="E17" s="5"/>
    </row>
    <row r="18" spans="1:5" x14ac:dyDescent="0.25">
      <c r="A18">
        <v>300</v>
      </c>
      <c r="B18" s="5">
        <f>B17</f>
        <v>-20.5</v>
      </c>
      <c r="C18" s="6">
        <v>-22.22</v>
      </c>
      <c r="D18" s="6">
        <v>-28.34</v>
      </c>
      <c r="E18" s="5"/>
    </row>
    <row r="19" spans="1:5" x14ac:dyDescent="0.25">
      <c r="A19">
        <v>300</v>
      </c>
      <c r="B19" s="5">
        <f>B17</f>
        <v>-20.5</v>
      </c>
      <c r="C19" s="6">
        <v>-22.22</v>
      </c>
      <c r="D19" s="6">
        <v>-28.34</v>
      </c>
      <c r="E19" s="5"/>
    </row>
    <row r="20" spans="1:5" x14ac:dyDescent="0.25">
      <c r="A20">
        <v>360</v>
      </c>
      <c r="B20" s="5">
        <v>-17.010000000000002</v>
      </c>
      <c r="C20" s="6">
        <v>-18.59</v>
      </c>
      <c r="D20" s="6">
        <v>-30</v>
      </c>
      <c r="E20" s="5"/>
    </row>
    <row r="21" spans="1:5" x14ac:dyDescent="0.25">
      <c r="A21">
        <v>360</v>
      </c>
      <c r="B21" s="5">
        <f>B20</f>
        <v>-17.010000000000002</v>
      </c>
      <c r="C21" s="6">
        <v>-18.59</v>
      </c>
      <c r="D21" s="6">
        <v>-30</v>
      </c>
      <c r="E21" s="5"/>
    </row>
    <row r="22" spans="1:5" x14ac:dyDescent="0.25">
      <c r="A22">
        <v>360</v>
      </c>
      <c r="B22" s="5">
        <f>B20</f>
        <v>-17.010000000000002</v>
      </c>
      <c r="C22" s="6">
        <v>-18.59</v>
      </c>
      <c r="D22" s="6">
        <v>-30</v>
      </c>
      <c r="E22" s="5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F2142-D22B-7B40-893F-CE593C8A9E8D}">
  <dimension ref="A1:E22"/>
  <sheetViews>
    <sheetView topLeftCell="A10" workbookViewId="0">
      <selection activeCell="D18" sqref="D18"/>
    </sheetView>
  </sheetViews>
  <sheetFormatPr baseColWidth="10" defaultRowHeight="15" x14ac:dyDescent="0.25"/>
  <cols>
    <col min="4" max="4" width="11.42578125" style="9"/>
  </cols>
  <sheetData>
    <row r="1" spans="1:5" x14ac:dyDescent="0.25">
      <c r="A1" t="s">
        <v>5</v>
      </c>
      <c r="B1" t="s">
        <v>13</v>
      </c>
      <c r="C1" t="s">
        <v>1</v>
      </c>
      <c r="D1" s="9" t="s">
        <v>0</v>
      </c>
    </row>
    <row r="2" spans="1:5" x14ac:dyDescent="0.25">
      <c r="A2">
        <v>0</v>
      </c>
      <c r="B2" s="5">
        <v>0.39</v>
      </c>
      <c r="C2" s="6">
        <v>0.16</v>
      </c>
      <c r="D2" s="10">
        <v>0.38</v>
      </c>
      <c r="E2" s="5"/>
    </row>
    <row r="3" spans="1:5" x14ac:dyDescent="0.25">
      <c r="A3">
        <v>0</v>
      </c>
      <c r="B3" s="5">
        <f>B2</f>
        <v>0.39</v>
      </c>
      <c r="C3" s="6">
        <v>0.16</v>
      </c>
      <c r="D3" s="10">
        <v>0.38</v>
      </c>
      <c r="E3" s="5"/>
    </row>
    <row r="4" spans="1:5" x14ac:dyDescent="0.25">
      <c r="A4">
        <v>0</v>
      </c>
      <c r="B4" s="5">
        <f>B2</f>
        <v>0.39</v>
      </c>
      <c r="C4" s="6">
        <v>0.16</v>
      </c>
      <c r="D4" s="10">
        <v>0.38</v>
      </c>
      <c r="E4" s="5"/>
    </row>
    <row r="5" spans="1:5" x14ac:dyDescent="0.25">
      <c r="A5">
        <v>60</v>
      </c>
      <c r="B5" s="6">
        <v>0.87</v>
      </c>
      <c r="C5" s="6">
        <v>0.16</v>
      </c>
      <c r="D5" s="10">
        <v>0.08</v>
      </c>
      <c r="E5" s="6"/>
    </row>
    <row r="6" spans="1:5" x14ac:dyDescent="0.25">
      <c r="A6">
        <v>60</v>
      </c>
      <c r="B6" s="6">
        <f>B5</f>
        <v>0.87</v>
      </c>
      <c r="C6" s="6">
        <v>0.16</v>
      </c>
      <c r="D6" s="10">
        <v>0.08</v>
      </c>
      <c r="E6" s="6"/>
    </row>
    <row r="7" spans="1:5" x14ac:dyDescent="0.25">
      <c r="A7">
        <v>60</v>
      </c>
      <c r="B7" s="6">
        <f>B5</f>
        <v>0.87</v>
      </c>
      <c r="C7" s="6">
        <v>0.16</v>
      </c>
      <c r="D7" s="10">
        <v>0.08</v>
      </c>
      <c r="E7" s="6"/>
    </row>
    <row r="8" spans="1:5" x14ac:dyDescent="0.25">
      <c r="A8">
        <v>120</v>
      </c>
      <c r="B8" s="5">
        <v>0.86</v>
      </c>
      <c r="C8" s="6">
        <v>0.65</v>
      </c>
      <c r="D8" s="10">
        <v>0.03</v>
      </c>
      <c r="E8" s="5"/>
    </row>
    <row r="9" spans="1:5" x14ac:dyDescent="0.25">
      <c r="A9">
        <v>120</v>
      </c>
      <c r="B9" s="5">
        <f>B8</f>
        <v>0.86</v>
      </c>
      <c r="C9" s="6">
        <v>0.65</v>
      </c>
      <c r="D9" s="10">
        <v>0.03</v>
      </c>
      <c r="E9" s="5"/>
    </row>
    <row r="10" spans="1:5" x14ac:dyDescent="0.25">
      <c r="A10">
        <v>120</v>
      </c>
      <c r="B10" s="5">
        <f>B8</f>
        <v>0.86</v>
      </c>
      <c r="C10" s="6">
        <v>0.65</v>
      </c>
      <c r="D10" s="10">
        <v>0.03</v>
      </c>
      <c r="E10" s="5"/>
    </row>
    <row r="11" spans="1:5" x14ac:dyDescent="0.25">
      <c r="A11">
        <v>180</v>
      </c>
      <c r="B11" s="5">
        <v>0.51</v>
      </c>
      <c r="C11" s="6">
        <v>0.91</v>
      </c>
      <c r="D11" s="10">
        <v>0.08</v>
      </c>
      <c r="E11" s="5"/>
    </row>
    <row r="12" spans="1:5" x14ac:dyDescent="0.25">
      <c r="A12">
        <v>180</v>
      </c>
      <c r="B12" s="5">
        <f>B11</f>
        <v>0.51</v>
      </c>
      <c r="C12" s="6">
        <v>0.91</v>
      </c>
      <c r="D12" s="10">
        <v>0.08</v>
      </c>
      <c r="E12" s="5"/>
    </row>
    <row r="13" spans="1:5" x14ac:dyDescent="0.25">
      <c r="A13">
        <v>180</v>
      </c>
      <c r="B13" s="5">
        <f>B11</f>
        <v>0.51</v>
      </c>
      <c r="C13" s="6">
        <v>0.91</v>
      </c>
      <c r="D13" s="10">
        <v>0.08</v>
      </c>
      <c r="E13" s="5"/>
    </row>
    <row r="14" spans="1:5" x14ac:dyDescent="0.25">
      <c r="A14">
        <v>240</v>
      </c>
      <c r="B14" s="5">
        <v>0.43</v>
      </c>
      <c r="C14" s="7">
        <v>0.94</v>
      </c>
      <c r="D14" s="11">
        <v>6.5000000000000002E-2</v>
      </c>
      <c r="E14" s="5"/>
    </row>
    <row r="15" spans="1:5" x14ac:dyDescent="0.25">
      <c r="A15">
        <v>240</v>
      </c>
      <c r="B15" s="5">
        <f>B14</f>
        <v>0.43</v>
      </c>
      <c r="C15" s="7">
        <v>0.94</v>
      </c>
      <c r="D15" s="11">
        <v>6.5000000000000002E-2</v>
      </c>
      <c r="E15" s="5"/>
    </row>
    <row r="16" spans="1:5" x14ac:dyDescent="0.25">
      <c r="A16">
        <v>240</v>
      </c>
      <c r="B16" s="5">
        <f>B14</f>
        <v>0.43</v>
      </c>
      <c r="C16" s="7">
        <v>0.94</v>
      </c>
      <c r="D16" s="11">
        <v>6.5000000000000002E-2</v>
      </c>
      <c r="E16" s="5"/>
    </row>
    <row r="17" spans="1:5" x14ac:dyDescent="0.25">
      <c r="A17">
        <v>300</v>
      </c>
      <c r="B17" s="5">
        <v>7.0000000000000007E-2</v>
      </c>
      <c r="C17" s="6">
        <v>0.98</v>
      </c>
      <c r="D17" s="10">
        <v>0.05</v>
      </c>
      <c r="E17" s="5"/>
    </row>
    <row r="18" spans="1:5" x14ac:dyDescent="0.25">
      <c r="A18">
        <v>300</v>
      </c>
      <c r="B18" s="5">
        <f>B17</f>
        <v>7.0000000000000007E-2</v>
      </c>
      <c r="C18" s="6">
        <v>0.98</v>
      </c>
      <c r="D18" s="10">
        <v>0.05</v>
      </c>
      <c r="E18" s="5"/>
    </row>
    <row r="19" spans="1:5" x14ac:dyDescent="0.25">
      <c r="A19">
        <v>300</v>
      </c>
      <c r="B19" s="5">
        <f>B17</f>
        <v>7.0000000000000007E-2</v>
      </c>
      <c r="C19" s="6">
        <v>0.98</v>
      </c>
      <c r="D19" s="10">
        <v>0.05</v>
      </c>
      <c r="E19" s="5"/>
    </row>
    <row r="20" spans="1:5" x14ac:dyDescent="0.25">
      <c r="A20">
        <v>360</v>
      </c>
      <c r="B20" s="5">
        <v>0.13</v>
      </c>
      <c r="C20" s="6">
        <v>0.36</v>
      </c>
      <c r="D20" s="10">
        <v>0.22</v>
      </c>
      <c r="E20" s="5"/>
    </row>
    <row r="21" spans="1:5" x14ac:dyDescent="0.25">
      <c r="A21">
        <v>360</v>
      </c>
      <c r="B21" s="5">
        <f>B20</f>
        <v>0.13</v>
      </c>
      <c r="C21" s="6">
        <v>0.36</v>
      </c>
      <c r="D21" s="10">
        <v>0.22</v>
      </c>
      <c r="E21" s="5"/>
    </row>
    <row r="22" spans="1:5" x14ac:dyDescent="0.25">
      <c r="A22">
        <v>360</v>
      </c>
      <c r="B22" s="5">
        <f>B20</f>
        <v>0.13</v>
      </c>
      <c r="C22" s="6">
        <v>0.36</v>
      </c>
      <c r="D22" s="10">
        <v>0.22</v>
      </c>
      <c r="E22" s="5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16665-E26E-B049-9CDB-EF87504B54EF}">
  <dimension ref="A1:E22"/>
  <sheetViews>
    <sheetView topLeftCell="A4" workbookViewId="0">
      <selection activeCell="D14" sqref="D14:D16"/>
    </sheetView>
  </sheetViews>
  <sheetFormatPr baseColWidth="10" defaultRowHeight="15" x14ac:dyDescent="0.25"/>
  <sheetData>
    <row r="1" spans="1:5" x14ac:dyDescent="0.25">
      <c r="A1" t="s">
        <v>5</v>
      </c>
      <c r="B1" t="s">
        <v>13</v>
      </c>
      <c r="C1" t="s">
        <v>1</v>
      </c>
      <c r="D1" t="s">
        <v>0</v>
      </c>
    </row>
    <row r="2" spans="1:5" x14ac:dyDescent="0.25">
      <c r="A2">
        <v>0</v>
      </c>
      <c r="B2" s="5">
        <v>6.14</v>
      </c>
      <c r="C2" s="6">
        <v>5.46</v>
      </c>
      <c r="D2" s="6">
        <v>7.27</v>
      </c>
      <c r="E2" s="5"/>
    </row>
    <row r="3" spans="1:5" x14ac:dyDescent="0.25">
      <c r="A3">
        <v>0</v>
      </c>
      <c r="B3" s="5">
        <f>B2</f>
        <v>6.14</v>
      </c>
      <c r="C3" s="6">
        <v>5.46</v>
      </c>
      <c r="D3" s="6">
        <v>7.27</v>
      </c>
      <c r="E3" s="5"/>
    </row>
    <row r="4" spans="1:5" x14ac:dyDescent="0.25">
      <c r="A4">
        <v>0</v>
      </c>
      <c r="B4" s="5">
        <f>B2</f>
        <v>6.14</v>
      </c>
      <c r="C4" s="6">
        <v>5.46</v>
      </c>
      <c r="D4" s="6">
        <v>7.27</v>
      </c>
      <c r="E4" s="5"/>
    </row>
    <row r="5" spans="1:5" x14ac:dyDescent="0.25">
      <c r="A5">
        <v>60</v>
      </c>
      <c r="B5" s="6">
        <v>10.56</v>
      </c>
      <c r="C5" s="6">
        <v>4.3499999999999996</v>
      </c>
      <c r="D5" s="6">
        <v>6.43</v>
      </c>
      <c r="E5" s="6"/>
    </row>
    <row r="6" spans="1:5" x14ac:dyDescent="0.25">
      <c r="A6">
        <v>60</v>
      </c>
      <c r="B6" s="6">
        <f>B5</f>
        <v>10.56</v>
      </c>
      <c r="C6" s="6">
        <v>4.3499999999999996</v>
      </c>
      <c r="D6" s="6">
        <v>6.43</v>
      </c>
      <c r="E6" s="6"/>
    </row>
    <row r="7" spans="1:5" x14ac:dyDescent="0.25">
      <c r="A7">
        <v>60</v>
      </c>
      <c r="B7" s="6">
        <f>B5</f>
        <v>10.56</v>
      </c>
      <c r="C7" s="6">
        <v>4.3499999999999996</v>
      </c>
      <c r="D7" s="6">
        <v>6.43</v>
      </c>
      <c r="E7" s="6"/>
    </row>
    <row r="8" spans="1:5" x14ac:dyDescent="0.25">
      <c r="A8">
        <v>120</v>
      </c>
      <c r="B8" s="5">
        <v>7.55</v>
      </c>
      <c r="C8" s="6">
        <v>6</v>
      </c>
      <c r="D8" s="6">
        <v>8.1999999999999993</v>
      </c>
      <c r="E8" s="5"/>
    </row>
    <row r="9" spans="1:5" x14ac:dyDescent="0.25">
      <c r="A9">
        <v>120</v>
      </c>
      <c r="B9" s="5">
        <f>B8</f>
        <v>7.55</v>
      </c>
      <c r="C9" s="6">
        <v>6</v>
      </c>
      <c r="D9" s="6">
        <v>8.1999999999999993</v>
      </c>
      <c r="E9" s="5"/>
    </row>
    <row r="10" spans="1:5" x14ac:dyDescent="0.25">
      <c r="A10">
        <v>120</v>
      </c>
      <c r="B10" s="5">
        <f>B8</f>
        <v>7.55</v>
      </c>
      <c r="C10" s="6">
        <v>6</v>
      </c>
      <c r="D10" s="6">
        <v>8.1999999999999993</v>
      </c>
      <c r="E10" s="5"/>
    </row>
    <row r="11" spans="1:5" x14ac:dyDescent="0.25">
      <c r="A11">
        <v>180</v>
      </c>
      <c r="B11" s="5">
        <v>8.42</v>
      </c>
      <c r="C11" s="6">
        <v>4.25</v>
      </c>
      <c r="D11" s="6">
        <v>3.81</v>
      </c>
      <c r="E11" s="5"/>
    </row>
    <row r="12" spans="1:5" x14ac:dyDescent="0.25">
      <c r="A12">
        <v>180</v>
      </c>
      <c r="B12" s="5">
        <f>B11</f>
        <v>8.42</v>
      </c>
      <c r="C12" s="6">
        <v>4.25</v>
      </c>
      <c r="D12" s="6">
        <v>3.81</v>
      </c>
      <c r="E12" s="5"/>
    </row>
    <row r="13" spans="1:5" x14ac:dyDescent="0.25">
      <c r="A13">
        <v>180</v>
      </c>
      <c r="B13" s="5">
        <f>B11</f>
        <v>8.42</v>
      </c>
      <c r="C13" s="6">
        <v>4.25</v>
      </c>
      <c r="D13" s="6">
        <v>3.81</v>
      </c>
      <c r="E13" s="5"/>
    </row>
    <row r="14" spans="1:5" x14ac:dyDescent="0.25">
      <c r="A14">
        <v>240</v>
      </c>
      <c r="B14" s="5">
        <v>9.27</v>
      </c>
      <c r="C14" s="7">
        <v>3.68</v>
      </c>
      <c r="D14" s="8">
        <v>5.16</v>
      </c>
      <c r="E14" s="5"/>
    </row>
    <row r="15" spans="1:5" x14ac:dyDescent="0.25">
      <c r="A15">
        <v>240</v>
      </c>
      <c r="B15" s="5">
        <f>B14</f>
        <v>9.27</v>
      </c>
      <c r="C15" s="7">
        <v>3.68</v>
      </c>
      <c r="D15" s="8">
        <v>5.16</v>
      </c>
      <c r="E15" s="5"/>
    </row>
    <row r="16" spans="1:5" x14ac:dyDescent="0.25">
      <c r="A16">
        <v>240</v>
      </c>
      <c r="B16" s="5">
        <f>B14</f>
        <v>9.27</v>
      </c>
      <c r="C16" s="7">
        <v>3.68</v>
      </c>
      <c r="D16" s="8">
        <v>5.16</v>
      </c>
      <c r="E16" s="5"/>
    </row>
    <row r="17" spans="1:5" x14ac:dyDescent="0.25">
      <c r="A17">
        <v>300</v>
      </c>
      <c r="B17" s="5">
        <v>9.39</v>
      </c>
      <c r="C17" s="6">
        <v>3.11</v>
      </c>
      <c r="D17" s="6">
        <v>6.51</v>
      </c>
      <c r="E17" s="5"/>
    </row>
    <row r="18" spans="1:5" x14ac:dyDescent="0.25">
      <c r="A18">
        <v>300</v>
      </c>
      <c r="B18" s="5">
        <f>B17</f>
        <v>9.39</v>
      </c>
      <c r="C18" s="6">
        <v>3.11</v>
      </c>
      <c r="D18" s="6">
        <v>6.51</v>
      </c>
      <c r="E18" s="5"/>
    </row>
    <row r="19" spans="1:5" x14ac:dyDescent="0.25">
      <c r="A19">
        <v>300</v>
      </c>
      <c r="B19" s="5">
        <f>B17</f>
        <v>9.39</v>
      </c>
      <c r="C19" s="6">
        <v>3.11</v>
      </c>
      <c r="D19" s="6">
        <v>6.51</v>
      </c>
      <c r="E19" s="5"/>
    </row>
    <row r="20" spans="1:5" x14ac:dyDescent="0.25">
      <c r="A20">
        <v>360</v>
      </c>
      <c r="B20" s="5">
        <v>7.17</v>
      </c>
      <c r="C20" s="6">
        <v>8.15</v>
      </c>
      <c r="D20" s="6">
        <v>9.14</v>
      </c>
      <c r="E20" s="5"/>
    </row>
    <row r="21" spans="1:5" x14ac:dyDescent="0.25">
      <c r="A21">
        <v>360</v>
      </c>
      <c r="B21" s="5">
        <f>B20</f>
        <v>7.17</v>
      </c>
      <c r="C21" s="6">
        <v>8.15</v>
      </c>
      <c r="D21" s="6">
        <v>9.14</v>
      </c>
      <c r="E21" s="5"/>
    </row>
    <row r="22" spans="1:5" x14ac:dyDescent="0.25">
      <c r="A22">
        <v>360</v>
      </c>
      <c r="B22" s="5">
        <f>B20</f>
        <v>7.17</v>
      </c>
      <c r="C22" s="6">
        <v>8.15</v>
      </c>
      <c r="D22" s="6">
        <v>9.14</v>
      </c>
      <c r="E22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AB870-49C4-4041-8879-04F630CA0C6A}">
  <dimension ref="A1:E22"/>
  <sheetViews>
    <sheetView topLeftCell="A4" workbookViewId="0">
      <selection activeCell="D14" sqref="D14:D16"/>
    </sheetView>
  </sheetViews>
  <sheetFormatPr baseColWidth="10" defaultRowHeight="15" x14ac:dyDescent="0.25"/>
  <sheetData>
    <row r="1" spans="1:5" x14ac:dyDescent="0.25">
      <c r="A1" t="s">
        <v>5</v>
      </c>
      <c r="B1" t="s">
        <v>13</v>
      </c>
      <c r="C1" t="s">
        <v>1</v>
      </c>
      <c r="D1" t="s">
        <v>0</v>
      </c>
    </row>
    <row r="2" spans="1:5" x14ac:dyDescent="0.25">
      <c r="A2">
        <v>0</v>
      </c>
      <c r="B2" s="5">
        <v>0.61</v>
      </c>
      <c r="C2" s="6">
        <v>0.09</v>
      </c>
      <c r="D2" s="6">
        <v>0.21</v>
      </c>
      <c r="E2" s="5"/>
    </row>
    <row r="3" spans="1:5" x14ac:dyDescent="0.25">
      <c r="A3">
        <v>0</v>
      </c>
      <c r="B3" s="5">
        <f>B2</f>
        <v>0.61</v>
      </c>
      <c r="C3" s="6">
        <v>0.09</v>
      </c>
      <c r="D3" s="6">
        <v>0.21</v>
      </c>
      <c r="E3" s="5"/>
    </row>
    <row r="4" spans="1:5" x14ac:dyDescent="0.25">
      <c r="A4">
        <v>0</v>
      </c>
      <c r="B4" s="5">
        <f>B2</f>
        <v>0.61</v>
      </c>
      <c r="C4" s="6">
        <v>0.09</v>
      </c>
      <c r="D4" s="6">
        <v>0.21</v>
      </c>
      <c r="E4" s="5"/>
    </row>
    <row r="5" spans="1:5" x14ac:dyDescent="0.25">
      <c r="A5">
        <v>60</v>
      </c>
      <c r="B5" s="6">
        <v>0.38</v>
      </c>
      <c r="C5" s="6">
        <v>0.23</v>
      </c>
      <c r="D5" s="6">
        <v>0.13</v>
      </c>
      <c r="E5" s="6"/>
    </row>
    <row r="6" spans="1:5" x14ac:dyDescent="0.25">
      <c r="A6">
        <v>60</v>
      </c>
      <c r="B6" s="6">
        <f>B5</f>
        <v>0.38</v>
      </c>
      <c r="C6" s="6">
        <v>0.23</v>
      </c>
      <c r="D6" s="6">
        <v>0.13</v>
      </c>
      <c r="E6" s="6"/>
    </row>
    <row r="7" spans="1:5" x14ac:dyDescent="0.25">
      <c r="A7">
        <v>60</v>
      </c>
      <c r="B7" s="6">
        <f>B5</f>
        <v>0.38</v>
      </c>
      <c r="C7" s="6">
        <v>0.23</v>
      </c>
      <c r="D7" s="6">
        <v>0.13</v>
      </c>
      <c r="E7" s="6"/>
    </row>
    <row r="8" spans="1:5" x14ac:dyDescent="0.25">
      <c r="A8">
        <v>120</v>
      </c>
      <c r="B8" s="5">
        <v>0.08</v>
      </c>
      <c r="C8" s="6">
        <v>0.42</v>
      </c>
      <c r="D8" s="6">
        <v>0.27</v>
      </c>
      <c r="E8" s="5"/>
    </row>
    <row r="9" spans="1:5" x14ac:dyDescent="0.25">
      <c r="A9">
        <v>120</v>
      </c>
      <c r="B9" s="5">
        <f>B8</f>
        <v>0.08</v>
      </c>
      <c r="C9" s="6">
        <v>0.42</v>
      </c>
      <c r="D9" s="6">
        <v>0.27</v>
      </c>
      <c r="E9" s="5"/>
    </row>
    <row r="10" spans="1:5" x14ac:dyDescent="0.25">
      <c r="A10">
        <v>120</v>
      </c>
      <c r="B10" s="5">
        <f>B8</f>
        <v>0.08</v>
      </c>
      <c r="C10" s="6">
        <v>0.42</v>
      </c>
      <c r="D10" s="6">
        <v>0.27</v>
      </c>
      <c r="E10" s="5"/>
    </row>
    <row r="11" spans="1:5" x14ac:dyDescent="0.25">
      <c r="A11">
        <v>180</v>
      </c>
      <c r="B11" s="5">
        <v>0.34</v>
      </c>
      <c r="C11" s="6">
        <v>0.05</v>
      </c>
      <c r="D11" s="6">
        <v>0.51</v>
      </c>
      <c r="E11" s="5"/>
    </row>
    <row r="12" spans="1:5" x14ac:dyDescent="0.25">
      <c r="A12">
        <v>180</v>
      </c>
      <c r="B12" s="5">
        <f>B11</f>
        <v>0.34</v>
      </c>
      <c r="C12" s="6">
        <v>0.05</v>
      </c>
      <c r="D12" s="6">
        <v>0.51</v>
      </c>
      <c r="E12" s="5"/>
    </row>
    <row r="13" spans="1:5" x14ac:dyDescent="0.25">
      <c r="A13">
        <v>180</v>
      </c>
      <c r="B13" s="5">
        <f>B11</f>
        <v>0.34</v>
      </c>
      <c r="C13" s="6">
        <v>0.05</v>
      </c>
      <c r="D13" s="6">
        <v>0.51</v>
      </c>
      <c r="E13" s="5"/>
    </row>
    <row r="14" spans="1:5" x14ac:dyDescent="0.25">
      <c r="A14">
        <v>240</v>
      </c>
      <c r="B14" s="5">
        <v>0.02</v>
      </c>
      <c r="C14" s="7">
        <v>0.21</v>
      </c>
      <c r="D14" s="8">
        <v>0.39</v>
      </c>
      <c r="E14" s="5"/>
    </row>
    <row r="15" spans="1:5" x14ac:dyDescent="0.25">
      <c r="A15">
        <v>240</v>
      </c>
      <c r="B15" s="5">
        <f>B14</f>
        <v>0.02</v>
      </c>
      <c r="C15" s="7">
        <v>0.21</v>
      </c>
      <c r="D15" s="8">
        <v>0.39</v>
      </c>
      <c r="E15" s="5"/>
    </row>
    <row r="16" spans="1:5" x14ac:dyDescent="0.25">
      <c r="A16">
        <v>240</v>
      </c>
      <c r="B16" s="5">
        <f>B14</f>
        <v>0.02</v>
      </c>
      <c r="C16" s="7">
        <v>0.21</v>
      </c>
      <c r="D16" s="8">
        <v>0.39</v>
      </c>
      <c r="E16" s="5"/>
    </row>
    <row r="17" spans="1:5" x14ac:dyDescent="0.25">
      <c r="A17">
        <v>300</v>
      </c>
      <c r="B17" s="5">
        <v>0.11</v>
      </c>
      <c r="C17" s="6">
        <v>0.38</v>
      </c>
      <c r="D17" s="6">
        <v>0.27</v>
      </c>
      <c r="E17" s="5"/>
    </row>
    <row r="18" spans="1:5" x14ac:dyDescent="0.25">
      <c r="A18">
        <v>300</v>
      </c>
      <c r="B18" s="5">
        <f>B17</f>
        <v>0.11</v>
      </c>
      <c r="C18" s="6">
        <v>0.38</v>
      </c>
      <c r="D18" s="6">
        <v>0.27</v>
      </c>
      <c r="E18" s="5"/>
    </row>
    <row r="19" spans="1:5" x14ac:dyDescent="0.25">
      <c r="A19">
        <v>300</v>
      </c>
      <c r="B19" s="5">
        <f>B17</f>
        <v>0.11</v>
      </c>
      <c r="C19" s="6">
        <v>0.38</v>
      </c>
      <c r="D19" s="6">
        <v>0.27</v>
      </c>
      <c r="E19" s="5"/>
    </row>
    <row r="20" spans="1:5" x14ac:dyDescent="0.25">
      <c r="A20">
        <v>360</v>
      </c>
      <c r="B20" s="5">
        <v>0.12</v>
      </c>
      <c r="C20" s="6">
        <v>0.52</v>
      </c>
      <c r="D20" s="6">
        <v>0.32</v>
      </c>
      <c r="E20" s="5"/>
    </row>
    <row r="21" spans="1:5" x14ac:dyDescent="0.25">
      <c r="A21">
        <v>360</v>
      </c>
      <c r="B21" s="5">
        <f>B20</f>
        <v>0.12</v>
      </c>
      <c r="C21" s="6">
        <v>0.52</v>
      </c>
      <c r="D21" s="6">
        <v>0.32</v>
      </c>
      <c r="E21" s="5"/>
    </row>
    <row r="22" spans="1:5" x14ac:dyDescent="0.25">
      <c r="A22">
        <v>360</v>
      </c>
      <c r="B22" s="5">
        <f>B20</f>
        <v>0.12</v>
      </c>
      <c r="C22" s="6">
        <v>0.52</v>
      </c>
      <c r="D22" s="6">
        <v>0.32</v>
      </c>
      <c r="E22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44FB0-4079-4D43-8035-90B46043B55E}">
  <dimension ref="A1:E4"/>
  <sheetViews>
    <sheetView workbookViewId="0">
      <selection activeCell="A3" sqref="A3:XFD3"/>
    </sheetView>
  </sheetViews>
  <sheetFormatPr baseColWidth="10" defaultRowHeight="15" x14ac:dyDescent="0.25"/>
  <sheetData>
    <row r="1" spans="1:5" x14ac:dyDescent="0.25">
      <c r="A1" t="s">
        <v>7</v>
      </c>
      <c r="B1" t="s">
        <v>11</v>
      </c>
      <c r="C1" t="s">
        <v>12</v>
      </c>
      <c r="D1" t="s">
        <v>9</v>
      </c>
      <c r="E1" t="s">
        <v>10</v>
      </c>
    </row>
    <row r="2" spans="1:5" x14ac:dyDescent="0.25">
      <c r="A2" t="s">
        <v>8</v>
      </c>
      <c r="B2" s="1">
        <v>0.4</v>
      </c>
      <c r="C2" s="1">
        <v>2.2000000000000002</v>
      </c>
      <c r="D2" s="1">
        <v>0</v>
      </c>
      <c r="E2">
        <v>0</v>
      </c>
    </row>
    <row r="3" spans="1:5" x14ac:dyDescent="0.25">
      <c r="A3" t="s">
        <v>1</v>
      </c>
      <c r="B3" s="1">
        <v>0.4</v>
      </c>
      <c r="C3" s="1">
        <v>2.2000000000000002</v>
      </c>
      <c r="D3" s="1">
        <v>0</v>
      </c>
      <c r="E3">
        <v>0</v>
      </c>
    </row>
    <row r="4" spans="1:5" x14ac:dyDescent="0.25">
      <c r="A4" t="s">
        <v>0</v>
      </c>
      <c r="B4" s="1">
        <v>0.4</v>
      </c>
      <c r="C4" s="1">
        <v>2.2000000000000002</v>
      </c>
      <c r="D4" s="1">
        <v>0</v>
      </c>
      <c r="E4"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9F41B-14C5-6E46-B5EB-3278C31F101B}">
  <dimension ref="A1:E22"/>
  <sheetViews>
    <sheetView workbookViewId="0">
      <selection activeCell="B2" sqref="B2"/>
    </sheetView>
  </sheetViews>
  <sheetFormatPr baseColWidth="10" defaultRowHeight="15" x14ac:dyDescent="0.25"/>
  <sheetData>
    <row r="1" spans="1:5" x14ac:dyDescent="0.25">
      <c r="A1" t="s">
        <v>5</v>
      </c>
      <c r="B1" t="s">
        <v>13</v>
      </c>
      <c r="C1" t="s">
        <v>1</v>
      </c>
      <c r="D1" t="s">
        <v>0</v>
      </c>
    </row>
    <row r="2" spans="1:5" x14ac:dyDescent="0.25">
      <c r="A2">
        <v>0</v>
      </c>
      <c r="B2" s="1">
        <v>0.4</v>
      </c>
      <c r="C2" s="1">
        <v>0.4</v>
      </c>
      <c r="D2" s="1">
        <v>0.4</v>
      </c>
      <c r="E2" s="1"/>
    </row>
    <row r="3" spans="1:5" x14ac:dyDescent="0.25">
      <c r="A3">
        <v>0</v>
      </c>
      <c r="B3" s="1">
        <v>0.4</v>
      </c>
      <c r="C3" s="1">
        <v>0.4</v>
      </c>
      <c r="D3" s="1">
        <v>0.4</v>
      </c>
      <c r="E3" s="1"/>
    </row>
    <row r="4" spans="1:5" x14ac:dyDescent="0.25">
      <c r="A4">
        <v>0</v>
      </c>
      <c r="B4" s="1">
        <v>0.4</v>
      </c>
      <c r="C4" s="1">
        <v>0.4</v>
      </c>
      <c r="D4" s="1">
        <v>0.4</v>
      </c>
      <c r="E4" s="1"/>
    </row>
    <row r="5" spans="1:5" x14ac:dyDescent="0.25">
      <c r="A5">
        <v>60</v>
      </c>
      <c r="B5" s="1">
        <v>0.4</v>
      </c>
      <c r="C5" s="1">
        <v>0.4</v>
      </c>
      <c r="D5" s="1">
        <v>0.4</v>
      </c>
      <c r="E5" s="1"/>
    </row>
    <row r="6" spans="1:5" x14ac:dyDescent="0.25">
      <c r="A6">
        <v>60</v>
      </c>
      <c r="B6" s="1">
        <v>0.4</v>
      </c>
      <c r="C6" s="1">
        <v>0.4</v>
      </c>
      <c r="D6" s="1">
        <v>0.4</v>
      </c>
      <c r="E6" s="1"/>
    </row>
    <row r="7" spans="1:5" x14ac:dyDescent="0.25">
      <c r="A7">
        <v>60</v>
      </c>
      <c r="B7" s="1">
        <v>0.4</v>
      </c>
      <c r="C7" s="1">
        <v>0.4</v>
      </c>
      <c r="D7" s="1">
        <v>0.4</v>
      </c>
      <c r="E7" s="1"/>
    </row>
    <row r="8" spans="1:5" x14ac:dyDescent="0.25">
      <c r="A8">
        <v>120</v>
      </c>
      <c r="B8" s="1">
        <v>0.4</v>
      </c>
      <c r="C8" s="1">
        <v>0.4</v>
      </c>
      <c r="D8" s="1">
        <v>0.4</v>
      </c>
      <c r="E8" s="1"/>
    </row>
    <row r="9" spans="1:5" x14ac:dyDescent="0.25">
      <c r="A9">
        <v>120</v>
      </c>
      <c r="B9" s="1">
        <v>0.4</v>
      </c>
      <c r="C9" s="1">
        <v>0.4</v>
      </c>
      <c r="D9" s="1">
        <v>0.4</v>
      </c>
      <c r="E9" s="1"/>
    </row>
    <row r="10" spans="1:5" x14ac:dyDescent="0.25">
      <c r="A10">
        <v>120</v>
      </c>
      <c r="B10" s="1">
        <v>0.4</v>
      </c>
      <c r="C10" s="1">
        <v>0.4</v>
      </c>
      <c r="D10" s="1">
        <v>0.4</v>
      </c>
      <c r="E10" s="1"/>
    </row>
    <row r="11" spans="1:5" x14ac:dyDescent="0.25">
      <c r="A11">
        <v>180</v>
      </c>
      <c r="B11" s="1">
        <v>0.4</v>
      </c>
      <c r="C11" s="1">
        <v>0.4</v>
      </c>
      <c r="D11" s="1">
        <v>0.4</v>
      </c>
      <c r="E11" s="1"/>
    </row>
    <row r="12" spans="1:5" x14ac:dyDescent="0.25">
      <c r="A12">
        <v>180</v>
      </c>
      <c r="B12" s="1">
        <v>0.4</v>
      </c>
      <c r="C12" s="1">
        <v>0.4</v>
      </c>
      <c r="D12" s="1">
        <v>0.4</v>
      </c>
      <c r="E12" s="1"/>
    </row>
    <row r="13" spans="1:5" x14ac:dyDescent="0.25">
      <c r="A13">
        <v>180</v>
      </c>
      <c r="B13" s="1">
        <v>0.4</v>
      </c>
      <c r="C13" s="1">
        <v>0.4</v>
      </c>
      <c r="D13" s="1">
        <v>0.4</v>
      </c>
      <c r="E13" s="1"/>
    </row>
    <row r="14" spans="1:5" x14ac:dyDescent="0.25">
      <c r="A14">
        <v>240</v>
      </c>
      <c r="B14" s="1">
        <v>0.4</v>
      </c>
      <c r="C14" s="1">
        <v>0.4</v>
      </c>
      <c r="D14" s="1">
        <v>0.4</v>
      </c>
      <c r="E14" s="1"/>
    </row>
    <row r="15" spans="1:5" x14ac:dyDescent="0.25">
      <c r="A15">
        <v>240</v>
      </c>
      <c r="B15" s="1">
        <v>0.4</v>
      </c>
      <c r="C15" s="1">
        <v>0.4</v>
      </c>
      <c r="D15" s="1">
        <v>0.4</v>
      </c>
      <c r="E15" s="1"/>
    </row>
    <row r="16" spans="1:5" x14ac:dyDescent="0.25">
      <c r="A16">
        <v>240</v>
      </c>
      <c r="B16" s="1">
        <v>0.4</v>
      </c>
      <c r="C16" s="1">
        <v>0.4</v>
      </c>
      <c r="D16" s="1">
        <v>0.4</v>
      </c>
      <c r="E16" s="1"/>
    </row>
    <row r="17" spans="1:5" x14ac:dyDescent="0.25">
      <c r="A17">
        <v>300</v>
      </c>
      <c r="B17" s="1">
        <v>0.4</v>
      </c>
      <c r="C17" s="1">
        <v>0.4</v>
      </c>
      <c r="D17" s="1">
        <v>0.4</v>
      </c>
      <c r="E17" s="1"/>
    </row>
    <row r="18" spans="1:5" x14ac:dyDescent="0.25">
      <c r="A18">
        <v>300</v>
      </c>
      <c r="B18" s="1">
        <v>0.4</v>
      </c>
      <c r="C18" s="1">
        <v>0.4</v>
      </c>
      <c r="D18" s="1">
        <v>0.4</v>
      </c>
      <c r="E18" s="1"/>
    </row>
    <row r="19" spans="1:5" x14ac:dyDescent="0.25">
      <c r="A19">
        <v>300</v>
      </c>
      <c r="B19" s="1">
        <v>0.4</v>
      </c>
      <c r="C19" s="1">
        <v>0.4</v>
      </c>
      <c r="D19" s="1">
        <v>0.4</v>
      </c>
      <c r="E19" s="1"/>
    </row>
    <row r="20" spans="1:5" x14ac:dyDescent="0.25">
      <c r="A20">
        <v>360</v>
      </c>
      <c r="B20" s="1">
        <v>0.4</v>
      </c>
      <c r="C20" s="1">
        <v>0.4</v>
      </c>
      <c r="D20" s="1">
        <v>0.4</v>
      </c>
      <c r="E20" s="1"/>
    </row>
    <row r="21" spans="1:5" x14ac:dyDescent="0.25">
      <c r="A21">
        <v>360</v>
      </c>
      <c r="B21" s="1">
        <v>0.4</v>
      </c>
      <c r="C21" s="1">
        <v>0.4</v>
      </c>
      <c r="D21" s="1">
        <v>0.4</v>
      </c>
      <c r="E21" s="1"/>
    </row>
    <row r="22" spans="1:5" x14ac:dyDescent="0.25">
      <c r="A22">
        <v>360</v>
      </c>
      <c r="B22" s="1">
        <v>0.4</v>
      </c>
      <c r="C22" s="1">
        <v>0.4</v>
      </c>
      <c r="D22" s="1">
        <v>0.4</v>
      </c>
      <c r="E22" s="1"/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02437-CBCA-E94A-9CCC-2E7CD22E036D}">
  <dimension ref="A1:E22"/>
  <sheetViews>
    <sheetView workbookViewId="0">
      <selection activeCell="B2" sqref="B2"/>
    </sheetView>
  </sheetViews>
  <sheetFormatPr baseColWidth="10" defaultRowHeight="15" x14ac:dyDescent="0.25"/>
  <sheetData>
    <row r="1" spans="1:5" x14ac:dyDescent="0.25">
      <c r="A1" t="s">
        <v>5</v>
      </c>
      <c r="B1" t="s">
        <v>13</v>
      </c>
      <c r="C1" t="s">
        <v>1</v>
      </c>
      <c r="D1" t="s">
        <v>0</v>
      </c>
    </row>
    <row r="2" spans="1:5" x14ac:dyDescent="0.25">
      <c r="A2">
        <v>0</v>
      </c>
      <c r="B2" s="1">
        <v>2.2000000000000002</v>
      </c>
      <c r="C2" s="1">
        <v>2.2000000000000002</v>
      </c>
      <c r="D2" s="1">
        <v>2.2000000000000002</v>
      </c>
      <c r="E2" s="1"/>
    </row>
    <row r="3" spans="1:5" x14ac:dyDescent="0.25">
      <c r="A3">
        <v>0</v>
      </c>
      <c r="B3" s="1">
        <v>2.2000000000000002</v>
      </c>
      <c r="C3" s="1">
        <v>2.2000000000000002</v>
      </c>
      <c r="D3" s="1">
        <v>2.2000000000000002</v>
      </c>
      <c r="E3" s="1"/>
    </row>
    <row r="4" spans="1:5" x14ac:dyDescent="0.25">
      <c r="A4">
        <v>0</v>
      </c>
      <c r="B4" s="1">
        <v>2.2000000000000002</v>
      </c>
      <c r="C4" s="1">
        <v>2.2000000000000002</v>
      </c>
      <c r="D4" s="1">
        <v>2.2000000000000002</v>
      </c>
      <c r="E4" s="1"/>
    </row>
    <row r="5" spans="1:5" x14ac:dyDescent="0.25">
      <c r="A5">
        <v>60</v>
      </c>
      <c r="B5" s="1">
        <v>2.2000000000000002</v>
      </c>
      <c r="C5" s="1">
        <v>2.2000000000000002</v>
      </c>
      <c r="D5" s="1">
        <v>2.2000000000000002</v>
      </c>
      <c r="E5" s="1"/>
    </row>
    <row r="6" spans="1:5" x14ac:dyDescent="0.25">
      <c r="A6">
        <v>60</v>
      </c>
      <c r="B6" s="1">
        <v>2.2000000000000002</v>
      </c>
      <c r="C6" s="1">
        <v>2.2000000000000002</v>
      </c>
      <c r="D6" s="1">
        <v>2.2000000000000002</v>
      </c>
      <c r="E6" s="1"/>
    </row>
    <row r="7" spans="1:5" x14ac:dyDescent="0.25">
      <c r="A7">
        <v>60</v>
      </c>
      <c r="B7" s="1">
        <v>2.2000000000000002</v>
      </c>
      <c r="C7" s="1">
        <v>2.2000000000000002</v>
      </c>
      <c r="D7" s="1">
        <v>2.2000000000000002</v>
      </c>
      <c r="E7" s="1"/>
    </row>
    <row r="8" spans="1:5" x14ac:dyDescent="0.25">
      <c r="A8">
        <v>120</v>
      </c>
      <c r="B8" s="1">
        <v>2.2000000000000002</v>
      </c>
      <c r="C8" s="1">
        <v>2.2000000000000002</v>
      </c>
      <c r="D8" s="1">
        <v>2.2000000000000002</v>
      </c>
      <c r="E8" s="1"/>
    </row>
    <row r="9" spans="1:5" x14ac:dyDescent="0.25">
      <c r="A9">
        <v>120</v>
      </c>
      <c r="B9" s="1">
        <v>2.2000000000000002</v>
      </c>
      <c r="C9" s="1">
        <v>2.2000000000000002</v>
      </c>
      <c r="D9" s="1">
        <v>2.2000000000000002</v>
      </c>
      <c r="E9" s="1"/>
    </row>
    <row r="10" spans="1:5" x14ac:dyDescent="0.25">
      <c r="A10">
        <v>120</v>
      </c>
      <c r="B10" s="1">
        <v>2.2000000000000002</v>
      </c>
      <c r="C10" s="1">
        <v>2.2000000000000002</v>
      </c>
      <c r="D10" s="1">
        <v>2.2000000000000002</v>
      </c>
      <c r="E10" s="1"/>
    </row>
    <row r="11" spans="1:5" x14ac:dyDescent="0.25">
      <c r="A11">
        <v>180</v>
      </c>
      <c r="B11" s="1">
        <v>2.2000000000000002</v>
      </c>
      <c r="C11" s="1">
        <v>2.2000000000000002</v>
      </c>
      <c r="D11" s="1">
        <v>2.2000000000000002</v>
      </c>
      <c r="E11" s="1"/>
    </row>
    <row r="12" spans="1:5" x14ac:dyDescent="0.25">
      <c r="A12">
        <v>180</v>
      </c>
      <c r="B12" s="1">
        <v>2.2000000000000002</v>
      </c>
      <c r="C12" s="1">
        <v>2.2000000000000002</v>
      </c>
      <c r="D12" s="1">
        <v>2.2000000000000002</v>
      </c>
      <c r="E12" s="1"/>
    </row>
    <row r="13" spans="1:5" x14ac:dyDescent="0.25">
      <c r="A13">
        <v>180</v>
      </c>
      <c r="B13" s="1">
        <v>2.2000000000000002</v>
      </c>
      <c r="C13" s="1">
        <v>2.2000000000000002</v>
      </c>
      <c r="D13" s="1">
        <v>2.2000000000000002</v>
      </c>
      <c r="E13" s="1"/>
    </row>
    <row r="14" spans="1:5" x14ac:dyDescent="0.25">
      <c r="A14">
        <v>240</v>
      </c>
      <c r="B14" s="1">
        <v>2.2000000000000002</v>
      </c>
      <c r="C14" s="1">
        <v>2.2000000000000002</v>
      </c>
      <c r="D14" s="1">
        <v>2.2000000000000002</v>
      </c>
      <c r="E14" s="1"/>
    </row>
    <row r="15" spans="1:5" x14ac:dyDescent="0.25">
      <c r="A15">
        <v>240</v>
      </c>
      <c r="B15" s="1">
        <v>2.2000000000000002</v>
      </c>
      <c r="C15" s="1">
        <v>2.2000000000000002</v>
      </c>
      <c r="D15" s="1">
        <v>2.2000000000000002</v>
      </c>
      <c r="E15" s="1"/>
    </row>
    <row r="16" spans="1:5" x14ac:dyDescent="0.25">
      <c r="A16">
        <v>240</v>
      </c>
      <c r="B16" s="1">
        <v>2.2000000000000002</v>
      </c>
      <c r="C16" s="1">
        <v>2.2000000000000002</v>
      </c>
      <c r="D16" s="1">
        <v>2.2000000000000002</v>
      </c>
      <c r="E16" s="1"/>
    </row>
    <row r="17" spans="1:5" x14ac:dyDescent="0.25">
      <c r="A17">
        <v>300</v>
      </c>
      <c r="B17" s="1">
        <v>2.2000000000000002</v>
      </c>
      <c r="C17" s="1">
        <v>2.2000000000000002</v>
      </c>
      <c r="D17" s="1">
        <v>2.2000000000000002</v>
      </c>
      <c r="E17" s="1"/>
    </row>
    <row r="18" spans="1:5" x14ac:dyDescent="0.25">
      <c r="A18">
        <v>300</v>
      </c>
      <c r="B18" s="1">
        <v>2.2000000000000002</v>
      </c>
      <c r="C18" s="1">
        <v>2.2000000000000002</v>
      </c>
      <c r="D18" s="1">
        <v>2.2000000000000002</v>
      </c>
      <c r="E18" s="1"/>
    </row>
    <row r="19" spans="1:5" x14ac:dyDescent="0.25">
      <c r="A19">
        <v>300</v>
      </c>
      <c r="B19" s="1">
        <v>2.2000000000000002</v>
      </c>
      <c r="C19" s="1">
        <v>2.2000000000000002</v>
      </c>
      <c r="D19" s="1">
        <v>2.2000000000000002</v>
      </c>
      <c r="E19" s="1"/>
    </row>
    <row r="20" spans="1:5" x14ac:dyDescent="0.25">
      <c r="A20">
        <v>360</v>
      </c>
      <c r="B20" s="1">
        <v>2.2000000000000002</v>
      </c>
      <c r="C20" s="1">
        <v>2.2000000000000002</v>
      </c>
      <c r="D20" s="1">
        <v>2.2000000000000002</v>
      </c>
      <c r="E20" s="1"/>
    </row>
    <row r="21" spans="1:5" x14ac:dyDescent="0.25">
      <c r="A21">
        <v>360</v>
      </c>
      <c r="B21" s="1">
        <v>2.2000000000000002</v>
      </c>
      <c r="C21" s="1">
        <v>2.2000000000000002</v>
      </c>
      <c r="D21" s="1">
        <v>2.2000000000000002</v>
      </c>
      <c r="E21" s="1"/>
    </row>
    <row r="22" spans="1:5" x14ac:dyDescent="0.25">
      <c r="A22">
        <v>360</v>
      </c>
      <c r="B22" s="1">
        <v>2.2000000000000002</v>
      </c>
      <c r="C22" s="1">
        <v>2.2000000000000002</v>
      </c>
      <c r="D22" s="1">
        <v>2.2000000000000002</v>
      </c>
      <c r="E22" s="1"/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5BF99-D9C8-8246-8A82-7982AA5AF168}">
  <dimension ref="A1:D22"/>
  <sheetViews>
    <sheetView workbookViewId="0">
      <selection activeCell="B2" sqref="B2"/>
    </sheetView>
  </sheetViews>
  <sheetFormatPr baseColWidth="10" defaultRowHeight="15" x14ac:dyDescent="0.25"/>
  <sheetData>
    <row r="1" spans="1:4" x14ac:dyDescent="0.25">
      <c r="A1" t="s">
        <v>5</v>
      </c>
      <c r="B1" t="s">
        <v>13</v>
      </c>
      <c r="C1" t="s">
        <v>1</v>
      </c>
      <c r="D1" t="s">
        <v>0</v>
      </c>
    </row>
    <row r="2" spans="1:4" x14ac:dyDescent="0.25">
      <c r="A2">
        <v>0</v>
      </c>
      <c r="B2">
        <v>0</v>
      </c>
      <c r="C2">
        <v>0</v>
      </c>
      <c r="D2">
        <v>0</v>
      </c>
    </row>
    <row r="3" spans="1:4" x14ac:dyDescent="0.25">
      <c r="A3">
        <v>0</v>
      </c>
      <c r="B3">
        <v>0</v>
      </c>
      <c r="C3">
        <v>0</v>
      </c>
      <c r="D3">
        <v>0</v>
      </c>
    </row>
    <row r="4" spans="1:4" x14ac:dyDescent="0.25">
      <c r="A4">
        <v>0</v>
      </c>
      <c r="B4">
        <v>0</v>
      </c>
      <c r="C4">
        <v>0</v>
      </c>
      <c r="D4">
        <v>0</v>
      </c>
    </row>
    <row r="5" spans="1:4" x14ac:dyDescent="0.25">
      <c r="A5">
        <v>60</v>
      </c>
      <c r="B5">
        <v>0</v>
      </c>
      <c r="C5">
        <v>0</v>
      </c>
      <c r="D5">
        <v>0</v>
      </c>
    </row>
    <row r="6" spans="1:4" x14ac:dyDescent="0.25">
      <c r="A6">
        <v>60</v>
      </c>
      <c r="B6">
        <v>0</v>
      </c>
      <c r="C6">
        <v>0</v>
      </c>
      <c r="D6">
        <v>0</v>
      </c>
    </row>
    <row r="7" spans="1:4" x14ac:dyDescent="0.25">
      <c r="A7">
        <v>60</v>
      </c>
      <c r="B7">
        <v>0</v>
      </c>
      <c r="C7">
        <v>0</v>
      </c>
      <c r="D7">
        <v>0</v>
      </c>
    </row>
    <row r="8" spans="1:4" x14ac:dyDescent="0.25">
      <c r="A8">
        <v>120</v>
      </c>
      <c r="B8">
        <v>0</v>
      </c>
      <c r="C8">
        <v>0</v>
      </c>
      <c r="D8">
        <v>0</v>
      </c>
    </row>
    <row r="9" spans="1:4" x14ac:dyDescent="0.25">
      <c r="A9">
        <v>120</v>
      </c>
      <c r="B9">
        <v>0</v>
      </c>
      <c r="C9">
        <v>0</v>
      </c>
      <c r="D9">
        <v>0</v>
      </c>
    </row>
    <row r="10" spans="1:4" x14ac:dyDescent="0.25">
      <c r="A10">
        <v>120</v>
      </c>
      <c r="B10">
        <v>0</v>
      </c>
      <c r="C10">
        <v>0</v>
      </c>
      <c r="D10">
        <v>0</v>
      </c>
    </row>
    <row r="11" spans="1:4" x14ac:dyDescent="0.25">
      <c r="A11">
        <v>180</v>
      </c>
      <c r="B11">
        <v>0</v>
      </c>
      <c r="C11">
        <v>0</v>
      </c>
      <c r="D11">
        <v>0</v>
      </c>
    </row>
    <row r="12" spans="1:4" x14ac:dyDescent="0.25">
      <c r="A12">
        <v>180</v>
      </c>
      <c r="B12">
        <v>0</v>
      </c>
      <c r="C12">
        <v>0</v>
      </c>
      <c r="D12">
        <v>0</v>
      </c>
    </row>
    <row r="13" spans="1:4" x14ac:dyDescent="0.25">
      <c r="A13">
        <v>180</v>
      </c>
      <c r="B13">
        <v>0</v>
      </c>
      <c r="C13">
        <v>0</v>
      </c>
      <c r="D13">
        <v>0</v>
      </c>
    </row>
    <row r="14" spans="1:4" x14ac:dyDescent="0.25">
      <c r="A14">
        <v>240</v>
      </c>
      <c r="B14">
        <v>0</v>
      </c>
      <c r="C14">
        <v>0</v>
      </c>
      <c r="D14">
        <v>0</v>
      </c>
    </row>
    <row r="15" spans="1:4" x14ac:dyDescent="0.25">
      <c r="A15">
        <v>240</v>
      </c>
      <c r="B15">
        <v>0</v>
      </c>
      <c r="C15">
        <v>0</v>
      </c>
      <c r="D15">
        <v>0</v>
      </c>
    </row>
    <row r="16" spans="1:4" x14ac:dyDescent="0.25">
      <c r="A16">
        <v>240</v>
      </c>
      <c r="B16">
        <v>0</v>
      </c>
      <c r="C16">
        <v>0</v>
      </c>
      <c r="D16">
        <v>0</v>
      </c>
    </row>
    <row r="17" spans="1:4" x14ac:dyDescent="0.25">
      <c r="A17">
        <v>300</v>
      </c>
      <c r="B17">
        <v>0</v>
      </c>
      <c r="C17">
        <v>0</v>
      </c>
      <c r="D17">
        <v>0</v>
      </c>
    </row>
    <row r="18" spans="1:4" x14ac:dyDescent="0.25">
      <c r="A18">
        <v>300</v>
      </c>
      <c r="B18">
        <v>0</v>
      </c>
      <c r="C18">
        <v>0</v>
      </c>
      <c r="D18">
        <v>0</v>
      </c>
    </row>
    <row r="19" spans="1:4" x14ac:dyDescent="0.25">
      <c r="A19">
        <v>300</v>
      </c>
      <c r="B19">
        <v>0</v>
      </c>
      <c r="C19">
        <v>0</v>
      </c>
      <c r="D19">
        <v>0</v>
      </c>
    </row>
    <row r="20" spans="1:4" x14ac:dyDescent="0.25">
      <c r="A20">
        <v>360</v>
      </c>
      <c r="B20">
        <v>0</v>
      </c>
      <c r="C20">
        <v>0</v>
      </c>
      <c r="D20">
        <v>0</v>
      </c>
    </row>
    <row r="21" spans="1:4" x14ac:dyDescent="0.25">
      <c r="A21">
        <v>360</v>
      </c>
      <c r="B21">
        <v>0</v>
      </c>
      <c r="C21">
        <v>0</v>
      </c>
      <c r="D21">
        <v>0</v>
      </c>
    </row>
    <row r="22" spans="1:4" x14ac:dyDescent="0.25">
      <c r="A22">
        <v>360</v>
      </c>
      <c r="B22">
        <v>0</v>
      </c>
      <c r="C22">
        <v>0</v>
      </c>
      <c r="D2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C9D81-CEBE-4B4F-BB55-389E1A60C127}">
  <dimension ref="A1:D22"/>
  <sheetViews>
    <sheetView workbookViewId="0">
      <selection activeCell="H13" sqref="H13"/>
    </sheetView>
  </sheetViews>
  <sheetFormatPr baseColWidth="10" defaultRowHeight="15" x14ac:dyDescent="0.25"/>
  <sheetData>
    <row r="1" spans="1:4" x14ac:dyDescent="0.25">
      <c r="A1" t="s">
        <v>5</v>
      </c>
      <c r="B1" t="s">
        <v>13</v>
      </c>
      <c r="C1" t="s">
        <v>1</v>
      </c>
      <c r="D1" t="s">
        <v>0</v>
      </c>
    </row>
    <row r="2" spans="1:4" x14ac:dyDescent="0.25">
      <c r="A2">
        <v>0</v>
      </c>
      <c r="B2">
        <v>0</v>
      </c>
      <c r="C2">
        <v>0</v>
      </c>
      <c r="D2">
        <v>0</v>
      </c>
    </row>
    <row r="3" spans="1:4" x14ac:dyDescent="0.25">
      <c r="A3">
        <v>0</v>
      </c>
      <c r="B3">
        <v>0</v>
      </c>
      <c r="C3">
        <v>0</v>
      </c>
      <c r="D3">
        <v>0</v>
      </c>
    </row>
    <row r="4" spans="1:4" x14ac:dyDescent="0.25">
      <c r="A4">
        <v>0</v>
      </c>
      <c r="B4">
        <v>0</v>
      </c>
      <c r="C4">
        <v>0</v>
      </c>
      <c r="D4">
        <v>0</v>
      </c>
    </row>
    <row r="5" spans="1:4" x14ac:dyDescent="0.25">
      <c r="A5">
        <v>60</v>
      </c>
      <c r="B5">
        <v>0</v>
      </c>
      <c r="C5">
        <v>0</v>
      </c>
      <c r="D5">
        <v>0</v>
      </c>
    </row>
    <row r="6" spans="1:4" x14ac:dyDescent="0.25">
      <c r="A6">
        <v>60</v>
      </c>
      <c r="B6">
        <v>0</v>
      </c>
      <c r="C6">
        <v>0</v>
      </c>
      <c r="D6">
        <v>0</v>
      </c>
    </row>
    <row r="7" spans="1:4" x14ac:dyDescent="0.25">
      <c r="A7">
        <v>60</v>
      </c>
      <c r="B7">
        <v>0</v>
      </c>
      <c r="C7">
        <v>0</v>
      </c>
      <c r="D7">
        <v>0</v>
      </c>
    </row>
    <row r="8" spans="1:4" x14ac:dyDescent="0.25">
      <c r="A8">
        <v>120</v>
      </c>
      <c r="B8">
        <v>0</v>
      </c>
      <c r="C8">
        <v>0</v>
      </c>
      <c r="D8">
        <v>0</v>
      </c>
    </row>
    <row r="9" spans="1:4" x14ac:dyDescent="0.25">
      <c r="A9">
        <v>120</v>
      </c>
      <c r="B9">
        <v>0</v>
      </c>
      <c r="C9">
        <v>0</v>
      </c>
      <c r="D9">
        <v>0</v>
      </c>
    </row>
    <row r="10" spans="1:4" x14ac:dyDescent="0.25">
      <c r="A10">
        <v>120</v>
      </c>
      <c r="B10">
        <v>0</v>
      </c>
      <c r="C10">
        <v>0</v>
      </c>
      <c r="D10">
        <v>0</v>
      </c>
    </row>
    <row r="11" spans="1:4" x14ac:dyDescent="0.25">
      <c r="A11">
        <v>180</v>
      </c>
      <c r="B11">
        <v>0</v>
      </c>
      <c r="C11">
        <v>0</v>
      </c>
      <c r="D11">
        <v>0</v>
      </c>
    </row>
    <row r="12" spans="1:4" x14ac:dyDescent="0.25">
      <c r="A12">
        <v>180</v>
      </c>
      <c r="B12">
        <v>0</v>
      </c>
      <c r="C12">
        <v>0</v>
      </c>
      <c r="D12">
        <v>0</v>
      </c>
    </row>
    <row r="13" spans="1:4" x14ac:dyDescent="0.25">
      <c r="A13">
        <v>180</v>
      </c>
      <c r="B13">
        <v>0</v>
      </c>
      <c r="C13">
        <v>0</v>
      </c>
      <c r="D13">
        <v>0</v>
      </c>
    </row>
    <row r="14" spans="1:4" x14ac:dyDescent="0.25">
      <c r="A14">
        <v>240</v>
      </c>
      <c r="B14">
        <v>0</v>
      </c>
      <c r="C14">
        <v>0</v>
      </c>
      <c r="D14">
        <v>0</v>
      </c>
    </row>
    <row r="15" spans="1:4" x14ac:dyDescent="0.25">
      <c r="A15">
        <v>240</v>
      </c>
      <c r="B15">
        <v>0</v>
      </c>
      <c r="C15">
        <v>0</v>
      </c>
      <c r="D15">
        <v>0</v>
      </c>
    </row>
    <row r="16" spans="1:4" x14ac:dyDescent="0.25">
      <c r="A16">
        <v>240</v>
      </c>
      <c r="B16">
        <v>0</v>
      </c>
      <c r="C16">
        <v>0</v>
      </c>
      <c r="D16">
        <v>0</v>
      </c>
    </row>
    <row r="17" spans="1:4" x14ac:dyDescent="0.25">
      <c r="A17">
        <v>300</v>
      </c>
      <c r="B17">
        <v>0</v>
      </c>
      <c r="C17">
        <v>0</v>
      </c>
      <c r="D17">
        <v>0</v>
      </c>
    </row>
    <row r="18" spans="1:4" x14ac:dyDescent="0.25">
      <c r="A18">
        <v>300</v>
      </c>
      <c r="B18">
        <v>0</v>
      </c>
      <c r="C18">
        <v>0</v>
      </c>
      <c r="D18">
        <v>0</v>
      </c>
    </row>
    <row r="19" spans="1:4" x14ac:dyDescent="0.25">
      <c r="A19">
        <v>300</v>
      </c>
      <c r="B19">
        <v>0</v>
      </c>
      <c r="C19">
        <v>0</v>
      </c>
      <c r="D19">
        <v>0</v>
      </c>
    </row>
    <row r="20" spans="1:4" x14ac:dyDescent="0.25">
      <c r="A20">
        <v>360</v>
      </c>
      <c r="B20">
        <v>0</v>
      </c>
      <c r="C20">
        <v>0</v>
      </c>
      <c r="D20">
        <v>0</v>
      </c>
    </row>
    <row r="21" spans="1:4" x14ac:dyDescent="0.25">
      <c r="A21">
        <v>360</v>
      </c>
      <c r="B21">
        <v>0</v>
      </c>
      <c r="C21">
        <v>0</v>
      </c>
      <c r="D21">
        <v>0</v>
      </c>
    </row>
    <row r="22" spans="1:4" x14ac:dyDescent="0.25">
      <c r="A22">
        <v>360</v>
      </c>
      <c r="B22">
        <v>0</v>
      </c>
      <c r="C22">
        <v>0</v>
      </c>
      <c r="D22">
        <v>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Sources</vt:lpstr>
      <vt:lpstr>Targets</vt:lpstr>
      <vt:lpstr>Sources_MeanC</vt:lpstr>
      <vt:lpstr>Sources_SdC</vt:lpstr>
      <vt:lpstr>Sources_MeanN</vt:lpstr>
      <vt:lpstr>Sources_SdN</vt:lpstr>
      <vt:lpstr>TEFs</vt:lpstr>
      <vt:lpstr>TEFs_MeanC</vt:lpstr>
      <vt:lpstr>TEFs_MeanN</vt:lpstr>
      <vt:lpstr>TEFs_SdC</vt:lpstr>
      <vt:lpstr>TEFs_SdN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Etudiant</dc:creator>
  <cp:lastModifiedBy>Etudiant</cp:lastModifiedBy>
  <dcterms:created xsi:type="dcterms:W3CDTF">2025-07-01T09:37:53Z</dcterms:created>
  <dcterms:modified xsi:type="dcterms:W3CDTF">2025-09-24T15:56:48Z</dcterms:modified>
</cp:coreProperties>
</file>